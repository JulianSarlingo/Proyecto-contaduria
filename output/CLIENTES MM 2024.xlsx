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lian\Desktop\Programacion\Proyectos\MarianoMortero\output\"/>
    </mc:Choice>
  </mc:AlternateContent>
  <bookViews>
    <workbookView xWindow="0" yWindow="0" windowWidth="10080" windowHeight="5355"/>
  </bookViews>
  <sheets>
    <sheet name="Clientes" sheetId="1" r:id="rId1"/>
  </sheets>
  <externalReferences>
    <externalReference r:id="rId2"/>
    <externalReference r:id="rId3"/>
    <externalReference r:id="rId4"/>
    <externalReference r:id="rId5"/>
  </externalReferences>
  <definedNames>
    <definedName name="_xlnm._FilterDatabase" localSheetId="0" hidden="1">Clientes!$FQ$8:$GO$21</definedName>
    <definedName name="_xlnm.Criteria" localSheetId="0">Clientes!$A$9:$FP$21</definedName>
    <definedName name="cruzado">[1]Hoja2!$B$1:$B$2</definedName>
    <definedName name="logo">OFFSET([1]Hoja2!$C$1,[1]Hoja1!$K$12,0)</definedName>
    <definedName name="SegmentaciónDeDatos_Columna2">#N/A</definedName>
    <definedName name="SegmentaciónDeDatos_Contribuyente">#N/A</definedName>
    <definedName name="SegmentaciónDeDatos_IIBB">#N/A</definedName>
    <definedName name="SegmentaciónDeDatos_Term">#N/A</definedName>
    <definedName name="SegmentaciónDeDatos_Tipo_Fact">#N/A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R21" i="1" l="1"/>
  <c r="P7" i="1"/>
  <c r="H7" i="1"/>
  <c r="P6" i="1"/>
  <c r="H6" i="1"/>
  <c r="P5" i="1"/>
  <c r="H5" i="1"/>
  <c r="P4" i="1"/>
  <c r="H4" i="1"/>
  <c r="R3" i="1"/>
  <c r="P3" i="1"/>
  <c r="H3" i="1"/>
  <c r="P2" i="1"/>
  <c r="H2" i="1"/>
  <c r="FR10" i="1"/>
  <c r="GN24" i="1"/>
  <c r="FT24" i="1"/>
  <c r="FS24" i="1"/>
  <c r="FP24" i="1"/>
  <c r="AM24" i="1"/>
  <c r="P24" i="1"/>
  <c r="N24" i="1"/>
  <c r="E24" i="1"/>
  <c r="GN23" i="1"/>
  <c r="FT23" i="1"/>
  <c r="FS23" i="1"/>
  <c r="FP23" i="1"/>
  <c r="AM23" i="1"/>
  <c r="P23" i="1"/>
  <c r="N23" i="1"/>
  <c r="E23" i="1"/>
  <c r="GN22" i="1"/>
  <c r="FT22" i="1"/>
  <c r="FS22" i="1"/>
  <c r="AM22" i="1"/>
  <c r="P22" i="1"/>
  <c r="N22" i="1"/>
  <c r="E22" i="1"/>
  <c r="Q111" i="1" l="1"/>
  <c r="GP21" i="1"/>
  <c r="GM21" i="1"/>
  <c r="FT21" i="1"/>
  <c r="FS21" i="1"/>
  <c r="FP21" i="1"/>
  <c r="AM21" i="1"/>
  <c r="P21" i="1"/>
  <c r="N21" i="1"/>
  <c r="H21" i="1"/>
  <c r="E21" i="1"/>
  <c r="GP20" i="1"/>
  <c r="GM20" i="1"/>
  <c r="BB20" i="1"/>
  <c r="AM20" i="1"/>
  <c r="P20" i="1"/>
  <c r="N20" i="1"/>
  <c r="H20" i="1"/>
  <c r="E20" i="1"/>
  <c r="GP19" i="1"/>
  <c r="GM19" i="1"/>
  <c r="FT19" i="1"/>
  <c r="FS19" i="1"/>
  <c r="FR19" i="1"/>
  <c r="FP19" i="1"/>
  <c r="AM19" i="1"/>
  <c r="P19" i="1"/>
  <c r="N19" i="1"/>
  <c r="H19" i="1"/>
  <c r="E19" i="1"/>
  <c r="GP18" i="1"/>
  <c r="GM18" i="1"/>
  <c r="FT18" i="1"/>
  <c r="FS18" i="1"/>
  <c r="FR18" i="1"/>
  <c r="FP18" i="1"/>
  <c r="AM18" i="1"/>
  <c r="P18" i="1"/>
  <c r="N18" i="1"/>
  <c r="H18" i="1"/>
  <c r="E18" i="1"/>
  <c r="GP17" i="1"/>
  <c r="GM17" i="1"/>
  <c r="AM17" i="1"/>
  <c r="P17" i="1"/>
  <c r="N17" i="1"/>
  <c r="H17" i="1"/>
  <c r="E17" i="1"/>
  <c r="GP16" i="1"/>
  <c r="GN16" i="1"/>
  <c r="FT16" i="1"/>
  <c r="FS16" i="1"/>
  <c r="FR16" i="1"/>
  <c r="FP16" i="1"/>
  <c r="AM16" i="1"/>
  <c r="P16" i="1"/>
  <c r="N16" i="1"/>
  <c r="H16" i="1"/>
  <c r="E16" i="1"/>
  <c r="GP15" i="1"/>
  <c r="GM15" i="1"/>
  <c r="FT15" i="1"/>
  <c r="FS15" i="1"/>
  <c r="FR15" i="1"/>
  <c r="FP15" i="1"/>
  <c r="AM15" i="1"/>
  <c r="P15" i="1"/>
  <c r="N15" i="1"/>
  <c r="H15" i="1"/>
  <c r="E15" i="1"/>
  <c r="GN14" i="1"/>
  <c r="FT14" i="1"/>
  <c r="FS14" i="1"/>
  <c r="FR14" i="1"/>
  <c r="FP14" i="1"/>
  <c r="AX14" i="1"/>
  <c r="AM14" i="1"/>
  <c r="P14" i="1"/>
  <c r="N14" i="1"/>
  <c r="H14" i="1"/>
  <c r="E14" i="1"/>
  <c r="GP13" i="1"/>
  <c r="GM13" i="1"/>
  <c r="FT13" i="1"/>
  <c r="FS13" i="1"/>
  <c r="FR13" i="1"/>
  <c r="FP13" i="1"/>
  <c r="AM13" i="1"/>
  <c r="P13" i="1"/>
  <c r="N13" i="1"/>
  <c r="H13" i="1"/>
  <c r="E13" i="1"/>
  <c r="GN12" i="1"/>
  <c r="FT12" i="1"/>
  <c r="FS12" i="1"/>
  <c r="FR12" i="1"/>
  <c r="FP12" i="1"/>
  <c r="AY12" i="1"/>
  <c r="AX12" i="1"/>
  <c r="AM12" i="1"/>
  <c r="P12" i="1"/>
  <c r="N12" i="1"/>
  <c r="H12" i="1"/>
  <c r="E12" i="1"/>
  <c r="GM11" i="1"/>
  <c r="FS11" i="1"/>
  <c r="FR11" i="1"/>
  <c r="FP11" i="1"/>
  <c r="AM11" i="1"/>
  <c r="P11" i="1"/>
  <c r="N11" i="1"/>
  <c r="M11" i="1"/>
  <c r="FT11" i="1" s="1"/>
  <c r="H11" i="1"/>
  <c r="E11" i="1"/>
  <c r="GN10" i="1"/>
  <c r="FT10" i="1"/>
  <c r="FS10" i="1"/>
  <c r="FP10" i="1"/>
  <c r="AY10" i="1"/>
  <c r="AX10" i="1"/>
  <c r="AM10" i="1"/>
  <c r="P10" i="1"/>
  <c r="N10" i="1"/>
  <c r="H10" i="1"/>
  <c r="E10" i="1"/>
  <c r="R6" i="1"/>
  <c r="R5" i="1"/>
  <c r="R4" i="1"/>
  <c r="FW2" i="1"/>
  <c r="Q1" i="1" l="1"/>
  <c r="GP11" i="1"/>
  <c r="G1" i="1"/>
  <c r="R7" i="1"/>
  <c r="H1" i="1" l="1"/>
</calcChain>
</file>

<file path=xl/sharedStrings.xml><?xml version="1.0" encoding="utf-8"?>
<sst xmlns="http://schemas.openxmlformats.org/spreadsheetml/2006/main" count="1242" uniqueCount="442">
  <si>
    <t>REIMPUTAR</t>
  </si>
  <si>
    <t>Monot. Convenio</t>
  </si>
  <si>
    <t>FACTURANTE</t>
  </si>
  <si>
    <t>CUIT</t>
  </si>
  <si>
    <t>Buenas Tardes, con el fin de poder ir ganando tiempo y adelantando tareas. Les pido que me pasen el detalle del extracto bancario de Enero a Diciembre 2024, si tienen más de 1 banco manden todos los que tengan. Esto es para "GANANCIAS 2024". En caso de tener bienes personales QUE DECLARAR, les pido me hagan una breve descripción de que bienes se incorporaron y cuales ya no tienen, durante el 2024. si tienen algún DOCUMENTO de la incorporación o venta envíenmela. Los bancos por favor que estén en Formato Excel de ser posible, sino en Formato PDF y traten de tenerlo para esta semana o la que viene. Muchas Gracias (MENSAJE AUTOMATICO).</t>
  </si>
  <si>
    <t>CAE MENSUAL</t>
  </si>
  <si>
    <t>(5) Ellos hacen las Facuras y Nosotros Controlamos el CAE SI &amp; MP</t>
  </si>
  <si>
    <t>no recteg</t>
  </si>
  <si>
    <t>Monot. Unificado</t>
  </si>
  <si>
    <t>XUBIO</t>
  </si>
  <si>
    <t>Nombre</t>
  </si>
  <si>
    <t>Buen día, a partir de ahora usted puede optar entre que en sus facturas se visualice su nombre fantasía o su nombre y apellido, si desea que se vea su nombre fantasía, por favor indíqueme cual es, para que podamos hacer el cambio. GRACIAS.</t>
  </si>
  <si>
    <t>EC - SEMANAL</t>
  </si>
  <si>
    <t>( 5  -  15   -   25  )Las hacemos nosotros semanalmente</t>
  </si>
  <si>
    <t>falta contacto</t>
  </si>
  <si>
    <t>Monot. Exento</t>
  </si>
  <si>
    <t>AFIP</t>
  </si>
  <si>
    <t>cliente</t>
  </si>
  <si>
    <t>EC - A PEDIDO</t>
  </si>
  <si>
    <t>( 1-2)  Nos piden la factura que hay que hacer</t>
  </si>
  <si>
    <t>ARBA CLAVE/AFIP</t>
  </si>
  <si>
    <t>craverp</t>
  </si>
  <si>
    <t>Resp. Inscripto</t>
  </si>
  <si>
    <t>XUBIO/G</t>
  </si>
  <si>
    <t>Clave AFIP</t>
  </si>
  <si>
    <t>MP ECM - Semanal</t>
  </si>
  <si>
    <t>(5  - 15  - 25) Bajamos nosotros semnalmente MP</t>
  </si>
  <si>
    <t>BLANQUEO</t>
  </si>
  <si>
    <t>OK enviado</t>
  </si>
  <si>
    <t>Resp. Insc. c/B</t>
  </si>
  <si>
    <t>ver</t>
  </si>
  <si>
    <t>Clave ARBA (CIT)</t>
  </si>
  <si>
    <t>Hacer Monotributo</t>
  </si>
  <si>
    <t>SIN ASIGNAR</t>
  </si>
  <si>
    <t/>
  </si>
  <si>
    <t>N°</t>
  </si>
  <si>
    <t>Fecha Inicio</t>
  </si>
  <si>
    <t>LUGAR</t>
  </si>
  <si>
    <t>Clientes</t>
  </si>
  <si>
    <t>Cliente</t>
  </si>
  <si>
    <t>Planilla</t>
  </si>
  <si>
    <t>Contribuyente</t>
  </si>
  <si>
    <t>FIRE</t>
  </si>
  <si>
    <t>CAT</t>
  </si>
  <si>
    <t>tipo monotributo</t>
  </si>
  <si>
    <t>Clave Fiscal</t>
  </si>
  <si>
    <t>Clave CIT</t>
  </si>
  <si>
    <t>Nom Oculto</t>
  </si>
  <si>
    <t>Clave Agip</t>
  </si>
  <si>
    <t>Term</t>
  </si>
  <si>
    <t>FACTURADOR</t>
  </si>
  <si>
    <t>IIBB</t>
  </si>
  <si>
    <t>Seguridad e Higiene</t>
  </si>
  <si>
    <t>LEGAJO           Seg e Hig.</t>
  </si>
  <si>
    <t>Claves               Seg e Hig.</t>
  </si>
  <si>
    <t>Sueldos</t>
  </si>
  <si>
    <t>Clave Xubio</t>
  </si>
  <si>
    <t>e-mail</t>
  </si>
  <si>
    <t>IVA Ventas</t>
  </si>
  <si>
    <t>clave agip2</t>
  </si>
  <si>
    <t>Medio de PAGO ARBA</t>
  </si>
  <si>
    <t>Medio de PAGO AFIP</t>
  </si>
  <si>
    <t>Telefono</t>
  </si>
  <si>
    <t>Relacion Fiscal</t>
  </si>
  <si>
    <t>Mercado Pago</t>
  </si>
  <si>
    <t>Facturacion de Mercado Pago</t>
  </si>
  <si>
    <t>Fact. Mensuales</t>
  </si>
  <si>
    <t>HASH User 1</t>
  </si>
  <si>
    <t>HASH Usser PV MP</t>
  </si>
  <si>
    <t>Plan FACTURANTE / XUBIO</t>
  </si>
  <si>
    <t>Local Propio / Alquilado</t>
  </si>
  <si>
    <t>Fecha de Nacimiento</t>
  </si>
  <si>
    <t>Mes de Cumpleanos</t>
  </si>
  <si>
    <t>VENTAS X</t>
  </si>
  <si>
    <t>Nombre Fantasía</t>
  </si>
  <si>
    <t>Ganancias &amp; Bienes Personales</t>
  </si>
  <si>
    <t>Observaciones DIANA</t>
  </si>
  <si>
    <t>contratos para RECATEGORIZACION</t>
  </si>
  <si>
    <t>SINDICATOS</t>
  </si>
  <si>
    <t>ECM-L</t>
  </si>
  <si>
    <t>VACIA 4</t>
  </si>
  <si>
    <t>CBU</t>
  </si>
  <si>
    <t>Nombre de fantasia</t>
  </si>
  <si>
    <t>Cód. Actividad</t>
  </si>
  <si>
    <t>Cód. Actividad2</t>
  </si>
  <si>
    <t>Régimen / Artículo</t>
  </si>
  <si>
    <t xml:space="preserve"> Tratamiento Fiscal</t>
  </si>
  <si>
    <t>ACTIVIDAD AFIP PRINCIPAL</t>
  </si>
  <si>
    <t>ACTIVIDAD AFIP SECUNDARIA</t>
  </si>
  <si>
    <t>Actividad (Principal)</t>
  </si>
  <si>
    <t>Actividad (Secundaría)</t>
  </si>
  <si>
    <t>Pto. Vta. Act. Prin. 1 / Pto. Vta Manual</t>
  </si>
  <si>
    <t>Pto. de Venta Act. Prin. 2 / Pto. Vta. Mercado Pago</t>
  </si>
  <si>
    <t>Pto. de Venta Act. Prin. 3</t>
  </si>
  <si>
    <t>Pto. de Venta Act. Prin. 4</t>
  </si>
  <si>
    <t>Pto. Venta Act. Sec. 1</t>
  </si>
  <si>
    <t>Pto. Venta Act. Sec. 2</t>
  </si>
  <si>
    <t>Pto. Venta Act. Sec. 3</t>
  </si>
  <si>
    <t>Pto. Venta Act. Sec. 4</t>
  </si>
  <si>
    <t>Provincia Destino</t>
  </si>
  <si>
    <t>Beneficio Fiscal RI</t>
  </si>
  <si>
    <t>Coef. Unif 901</t>
  </si>
  <si>
    <t>Coef. Unif 902</t>
  </si>
  <si>
    <t>Coef. Unif 903</t>
  </si>
  <si>
    <t>Coef. Unif 904</t>
  </si>
  <si>
    <t>Coef. Unif 905</t>
  </si>
  <si>
    <t>Coef. Unif 906</t>
  </si>
  <si>
    <t>Coef. Unif 907</t>
  </si>
  <si>
    <t>Coef. Unif 908</t>
  </si>
  <si>
    <t>Coef. Unif 909</t>
  </si>
  <si>
    <t>Coef. Unif 910</t>
  </si>
  <si>
    <t>Coef. Unif 911</t>
  </si>
  <si>
    <t>Coef. Unif 912</t>
  </si>
  <si>
    <t>Coef. Unif 913</t>
  </si>
  <si>
    <t>Coef. Unif 914</t>
  </si>
  <si>
    <t>Coef. Unif 915</t>
  </si>
  <si>
    <t>Coef. Unif 916</t>
  </si>
  <si>
    <t>Coef. Unif 917</t>
  </si>
  <si>
    <t>Coef. Unif 918</t>
  </si>
  <si>
    <t>Coef. Unif 919</t>
  </si>
  <si>
    <t>Coef. Unif 920</t>
  </si>
  <si>
    <t>Coef. Unif 921</t>
  </si>
  <si>
    <t>Coef. Unif 922</t>
  </si>
  <si>
    <t>Coef. Unif 923</t>
  </si>
  <si>
    <t>Coef. Unif 924</t>
  </si>
  <si>
    <t>Convenio 901</t>
  </si>
  <si>
    <t>Convenio 902</t>
  </si>
  <si>
    <t>Convenio 903</t>
  </si>
  <si>
    <t>Convenio 904</t>
  </si>
  <si>
    <t>Convenio 905</t>
  </si>
  <si>
    <t>Convenio 906</t>
  </si>
  <si>
    <t>Convenio 907</t>
  </si>
  <si>
    <t>Convenio 908</t>
  </si>
  <si>
    <t>Convenio 909</t>
  </si>
  <si>
    <t>Convenio 910</t>
  </si>
  <si>
    <t>Convenio 911</t>
  </si>
  <si>
    <t>Convenio 912</t>
  </si>
  <si>
    <t>Convenio 913</t>
  </si>
  <si>
    <t>Convenio 914</t>
  </si>
  <si>
    <t>Convenio 915</t>
  </si>
  <si>
    <t>Convenio 916</t>
  </si>
  <si>
    <t>Convenio 917</t>
  </si>
  <si>
    <t>Convenio 918</t>
  </si>
  <si>
    <t>Convenio 919</t>
  </si>
  <si>
    <t>Convenio 920</t>
  </si>
  <si>
    <t>Convenio 921</t>
  </si>
  <si>
    <t>Convenio 922</t>
  </si>
  <si>
    <t>Convenio 923</t>
  </si>
  <si>
    <t>Convenio 924</t>
  </si>
  <si>
    <t>Alicuota 1 901</t>
  </si>
  <si>
    <t>Alicuota 1 902</t>
  </si>
  <si>
    <t>Alicuota 1 903</t>
  </si>
  <si>
    <t>Alicuota 1 904</t>
  </si>
  <si>
    <t>Alicuota 1 905</t>
  </si>
  <si>
    <t>Alicuota 1 906</t>
  </si>
  <si>
    <t>Alicuota 1 907</t>
  </si>
  <si>
    <t>Alicuota 1 908</t>
  </si>
  <si>
    <t>Alicuota 1 909</t>
  </si>
  <si>
    <t>Alicuota 1 910</t>
  </si>
  <si>
    <t>Alicuota 1 911</t>
  </si>
  <si>
    <t>Alicuota 1 912</t>
  </si>
  <si>
    <t>Alicuota 1 913</t>
  </si>
  <si>
    <t>Alicuota 1 914</t>
  </si>
  <si>
    <t>Alicuota 1 915</t>
  </si>
  <si>
    <t>Alicuota 1 916</t>
  </si>
  <si>
    <t>Alicuota 1 917</t>
  </si>
  <si>
    <t>Alicuota 1 918</t>
  </si>
  <si>
    <t>Alicuota 1 919</t>
  </si>
  <si>
    <t>Alicuota 1 920</t>
  </si>
  <si>
    <t>Alicuota 1 921</t>
  </si>
  <si>
    <t>Alicuota 1 922</t>
  </si>
  <si>
    <t>Alicuota 1 923</t>
  </si>
  <si>
    <t>Alicuota 1 924</t>
  </si>
  <si>
    <t>Alicuota 2 901</t>
  </si>
  <si>
    <t>Alicuota 2 902</t>
  </si>
  <si>
    <t>Alicuota 2 903</t>
  </si>
  <si>
    <t>Alicuota 2 904</t>
  </si>
  <si>
    <t>Alicuota 2 905</t>
  </si>
  <si>
    <t>Alicuota 2 906</t>
  </si>
  <si>
    <t>Alicuota 2 907</t>
  </si>
  <si>
    <t>Alicuota 2 908</t>
  </si>
  <si>
    <t>Alicuota 2 909</t>
  </si>
  <si>
    <t>Alicuota 2 910</t>
  </si>
  <si>
    <t>Alicuota 2 911</t>
  </si>
  <si>
    <t>Alicuota 2 912</t>
  </si>
  <si>
    <t>Alicuota 2 913</t>
  </si>
  <si>
    <t>Alicuota 2 914</t>
  </si>
  <si>
    <t>Alicuota 2 915</t>
  </si>
  <si>
    <t>Alicuota 2 916</t>
  </si>
  <si>
    <t>Alicuota 2 917</t>
  </si>
  <si>
    <t>Alicuota 2 918</t>
  </si>
  <si>
    <t>Alicuota 2 919</t>
  </si>
  <si>
    <t>Alicuota 2 920</t>
  </si>
  <si>
    <t>Alicuota 2 921</t>
  </si>
  <si>
    <t>Alicuota 2 922</t>
  </si>
  <si>
    <t>Alicuota 2 923</t>
  </si>
  <si>
    <t>Alicuota 2 924</t>
  </si>
  <si>
    <t>Libre 4</t>
  </si>
  <si>
    <t>Direccion2</t>
  </si>
  <si>
    <t>Horario3</t>
  </si>
  <si>
    <t>Localidad4</t>
  </si>
  <si>
    <t>Codigo Postal</t>
  </si>
  <si>
    <t>Partida -D6</t>
  </si>
  <si>
    <t>Cumpleaños</t>
  </si>
  <si>
    <t>Inicio de Act.  IIBB8</t>
  </si>
  <si>
    <t>Clave Agip.</t>
  </si>
  <si>
    <t>Columna4</t>
  </si>
  <si>
    <t xml:space="preserve">cuit </t>
  </si>
  <si>
    <t>Clave Afip</t>
  </si>
  <si>
    <t>Clave ARBA</t>
  </si>
  <si>
    <t>Ingresos Brutos</t>
  </si>
  <si>
    <t>Inmobiliario</t>
  </si>
  <si>
    <t>Automotor</t>
  </si>
  <si>
    <t>Monot. / Autónomo</t>
  </si>
  <si>
    <t>AGIP</t>
  </si>
  <si>
    <t>SCT  IVA</t>
  </si>
  <si>
    <t>SCT Empleados</t>
  </si>
  <si>
    <t>SCT GCIA &amp; BP</t>
  </si>
  <si>
    <t>SCT Contribución de Seg. Social</t>
  </si>
  <si>
    <t>Convenio</t>
  </si>
  <si>
    <t>Seg. e Higiene</t>
  </si>
  <si>
    <t>Columna7</t>
  </si>
  <si>
    <t>Monto facturado 2024</t>
  </si>
  <si>
    <t>Categoria</t>
  </si>
  <si>
    <t>Tope</t>
  </si>
  <si>
    <t>Tope de Categoria</t>
  </si>
  <si>
    <t>Tope Categoria Mensual 2024</t>
  </si>
  <si>
    <t>ENVIADO  Monotributo</t>
  </si>
  <si>
    <t>ENVIADO Resp. Inscripto.</t>
  </si>
  <si>
    <t>WHATSAPP O MAIL</t>
  </si>
  <si>
    <t>RECATEGORIZACION</t>
  </si>
  <si>
    <t>VILLANUEVA</t>
  </si>
  <si>
    <t>AGUILAR MARCELO ADRIAN</t>
  </si>
  <si>
    <t>RI</t>
  </si>
  <si>
    <t>Servicios</t>
  </si>
  <si>
    <t>Adrian201632</t>
  </si>
  <si>
    <t>Emm325415</t>
  </si>
  <si>
    <t>Adrian2016</t>
  </si>
  <si>
    <t>DJ CM WEB</t>
  </si>
  <si>
    <t>NO LIQUIDAR</t>
  </si>
  <si>
    <t>12345678</t>
  </si>
  <si>
    <t>aguilaroftalmologia@hotmail.com</t>
  </si>
  <si>
    <t>Iva 21%</t>
  </si>
  <si>
    <t>PMC</t>
  </si>
  <si>
    <t>11-41917743</t>
  </si>
  <si>
    <t>NO TIENE</t>
  </si>
  <si>
    <t>EC - MENSUAL</t>
  </si>
  <si>
    <t>Local Alq.</t>
  </si>
  <si>
    <t>VENTAS XUBIO</t>
  </si>
  <si>
    <t>GCIAS Simplificada &amp; BP Beneficio cumplidor</t>
  </si>
  <si>
    <t>en caso que aparezca multa de iva de septiembre porque no modifique la parte del filtro cuando empezo como ri, habia notificaciones afip reclamandole ganancias y bienes</t>
  </si>
  <si>
    <t>A</t>
  </si>
  <si>
    <t>0110023530002305556247</t>
  </si>
  <si>
    <t>869090-SERVICIOS RELACIONADOS CON LA SALUD HUMANA N.C.P.</t>
  </si>
  <si>
    <t>Oftalmologo</t>
  </si>
  <si>
    <t>No Tiene</t>
  </si>
  <si>
    <t>A-00006</t>
  </si>
  <si>
    <t>B-00006</t>
  </si>
  <si>
    <t>Ciudad Autónoma de Buenos Aires</t>
  </si>
  <si>
    <t>Chacabuco 970</t>
  </si>
  <si>
    <t>Ing. Maschwitz</t>
  </si>
  <si>
    <t>( Sin Deuda )</t>
  </si>
  <si>
    <t>Adrián</t>
  </si>
  <si>
    <t>si</t>
  </si>
  <si>
    <t xml:space="preserve"> </t>
  </si>
  <si>
    <t>Z EXTERNO</t>
  </si>
  <si>
    <t>ALLERAND MARIA TERESA</t>
  </si>
  <si>
    <t>C</t>
  </si>
  <si>
    <t>Teresa2313</t>
  </si>
  <si>
    <t>M.UNIFICADO</t>
  </si>
  <si>
    <t>Lamatecita@yahoo.com.ar</t>
  </si>
  <si>
    <t>11-26326296</t>
  </si>
  <si>
    <t>sin Local</t>
  </si>
  <si>
    <t>BP</t>
  </si>
  <si>
    <t>681099 - SERVICIOS INMOBILIARIOS REALIZADOS POR CUENTA PROPIA, CON BIENES RURALES PROPIOS O ARRENDADOS N.C.P</t>
  </si>
  <si>
    <t>681098 - SERVICIOS INMOBILIARIOS REALIZADOS POR CUENTA PROPIA, CON BIENES URBANOS PROPIOS O ARRENDADOS N.C.P</t>
  </si>
  <si>
    <t>Alquileres</t>
  </si>
  <si>
    <t>Buenos Aires</t>
  </si>
  <si>
    <t>D</t>
  </si>
  <si>
    <t>H</t>
  </si>
  <si>
    <t>Teresa</t>
  </si>
  <si>
    <t>SI</t>
  </si>
  <si>
    <t>ESTUDIO</t>
  </si>
  <si>
    <t>ALTAMIRANO MARGARITA ESTER</t>
  </si>
  <si>
    <t>Ventas</t>
  </si>
  <si>
    <t>Margarita272818</t>
  </si>
  <si>
    <t>Emm182988</t>
  </si>
  <si>
    <t>Margarita2728</t>
  </si>
  <si>
    <t>magyester7890@gmail.com; margarita.ester.altamirano@gmail.com</t>
  </si>
  <si>
    <t>Iva 10,5%</t>
  </si>
  <si>
    <t>Margarita27</t>
  </si>
  <si>
    <t>11-33337970</t>
  </si>
  <si>
    <t>EMPRENDEDOR/ilimitado</t>
  </si>
  <si>
    <t>GCIAS &amp; BP</t>
  </si>
  <si>
    <t>Bajar MP</t>
  </si>
  <si>
    <t>Blanqueo Bienes</t>
  </si>
  <si>
    <t>0720075588000003442054</t>
  </si>
  <si>
    <t>Altamirano Margarita Ester</t>
  </si>
  <si>
    <t>472160 - VENTA AL POR MENOR DE FRUTAS, LEGUMBRES Y HORTALIZAS FRESCAS</t>
  </si>
  <si>
    <t>verduleria</t>
  </si>
  <si>
    <t>A-00007</t>
  </si>
  <si>
    <t>Islandia 1680</t>
  </si>
  <si>
    <t>Escobar</t>
  </si>
  <si>
    <t>Margarita</t>
  </si>
  <si>
    <t>MENDOZA</t>
  </si>
  <si>
    <t>ALVAREZ SILVIA GRACIELA</t>
  </si>
  <si>
    <t>Silvia2712</t>
  </si>
  <si>
    <t>Silvia271297</t>
  </si>
  <si>
    <t>tropical.white.vegan@gmail.com</t>
  </si>
  <si>
    <t>11-53756833</t>
  </si>
  <si>
    <t>Mama NUCHI</t>
  </si>
  <si>
    <t>https://www.facturante.com/Usuarios/LogInCanal?hash=XWwDBgxp9bS%2FKHUu0MpD6K%2FsGRw%3D</t>
  </si>
  <si>
    <t>https://www.facturante.com/Usuarios/LogInCanal?hash=Uys5GYjcIS7EOHiuCk5E5lsTx08%3D</t>
  </si>
  <si>
    <t>Pack500</t>
  </si>
  <si>
    <t>NO DECLARO CBU</t>
  </si>
  <si>
    <t>9609690 - SERVICIOS PERSONALES N.C.P</t>
  </si>
  <si>
    <t>561019 - SERVICIOS DE EXPENDIO DE COMIDAS Y BEBIDAS EN ESTABLECIMIENTOS CON SERVICIO DE MESA Y/O EN MOSTRADOR N.C.P</t>
  </si>
  <si>
    <t>Gastronomico</t>
  </si>
  <si>
    <t>F</t>
  </si>
  <si>
    <t>Nuchi (x Silvia)</t>
  </si>
  <si>
    <t>MERCADO MASCHWITZ</t>
  </si>
  <si>
    <t>ANALIX S.A.</t>
  </si>
  <si>
    <t>Analia272510</t>
  </si>
  <si>
    <t>Si Liquidar 7</t>
  </si>
  <si>
    <t>analiatriunfo.at@gmail.com ; catasresto@gmail.com ; mjulietaanabella@gmail.com</t>
  </si>
  <si>
    <t>11-51203744</t>
  </si>
  <si>
    <t>SETTE</t>
  </si>
  <si>
    <t>GANANCIAS SOCIEDADES</t>
  </si>
  <si>
    <t>U.T.H.G.R.A.</t>
  </si>
  <si>
    <t>0720388420000001735772</t>
  </si>
  <si>
    <t>561019-SERVICIOS DE EXPENDIO DE COMIDAS Y BEBIDAS EN ESTABLECIMIENTOS CON SERVICIO DE MESA Y</t>
  </si>
  <si>
    <t>B-00001</t>
  </si>
  <si>
    <t>A-00001</t>
  </si>
  <si>
    <t>B-00002</t>
  </si>
  <si>
    <t>(Deuda de 692618,30, condonacion 30% deuda 574798,81 CONTADO Ó 3 PAGOS )</t>
  </si>
  <si>
    <t>Ana/Félix (x Analix S.A.)</t>
  </si>
  <si>
    <t>ARAOZ LIDIA EUDOSIA</t>
  </si>
  <si>
    <t>Lidia279583</t>
  </si>
  <si>
    <t>Lidia2795835</t>
  </si>
  <si>
    <t>Lidiaaraozmachuca@gmail.com</t>
  </si>
  <si>
    <t>LINK</t>
  </si>
  <si>
    <t>11-54193691</t>
  </si>
  <si>
    <t>STUNT BIKE</t>
  </si>
  <si>
    <t>472120 - VENTA AL POR MENOR DE PRODUCTOS DE ALMACÉN Y DIETÉTICA</t>
  </si>
  <si>
    <t>Bicicletería</t>
  </si>
  <si>
    <t>Ricardo Fernandez 1085</t>
  </si>
  <si>
    <t>118-002715-3</t>
  </si>
  <si>
    <t>B</t>
  </si>
  <si>
    <t>K</t>
  </si>
  <si>
    <t>Lidia</t>
  </si>
  <si>
    <t>VECINOS</t>
  </si>
  <si>
    <t>ARAOZ SANDOVAL MARIELA ROSA</t>
  </si>
  <si>
    <t>servicios</t>
  </si>
  <si>
    <t>Mariela2024</t>
  </si>
  <si>
    <t>Em27269360</t>
  </si>
  <si>
    <t>Araoz272693</t>
  </si>
  <si>
    <t>mariela.araoz@gmail.com</t>
  </si>
  <si>
    <t>VENTAS AFIP</t>
  </si>
  <si>
    <t xml:space="preserve">869090-KINESIOLOGIA </t>
  </si>
  <si>
    <t>KINESIOLOGIA</t>
  </si>
  <si>
    <t>B-00003</t>
  </si>
  <si>
    <t>Mariela</t>
  </si>
  <si>
    <t>ARCANGELI HERNAN OMAR</t>
  </si>
  <si>
    <t>HernanOmar25</t>
  </si>
  <si>
    <t>Hernan2023</t>
  </si>
  <si>
    <t>1156164795</t>
  </si>
  <si>
    <t>Hermano de Daniela Anahi arcangeli</t>
  </si>
  <si>
    <t>Hernan</t>
  </si>
  <si>
    <t>TIGRE</t>
  </si>
  <si>
    <t xml:space="preserve">ARRIETA AMORINA </t>
  </si>
  <si>
    <t>Arrieta2722</t>
  </si>
  <si>
    <t>amorinaarrieta@yahoo.com</t>
  </si>
  <si>
    <t>11-36044416</t>
  </si>
  <si>
    <t xml:space="preserve">No tiene </t>
  </si>
  <si>
    <t>Locadora</t>
  </si>
  <si>
    <t>0720094688000036974504</t>
  </si>
  <si>
    <t>Moda Shop</t>
  </si>
  <si>
    <t>Ricardo Fernandez 1174 Dpto 2</t>
  </si>
  <si>
    <t>118-002878-8</t>
  </si>
  <si>
    <t>Amorina</t>
  </si>
  <si>
    <t>ASTUHUAMAN DE UBALDO MELANIA PAULINA</t>
  </si>
  <si>
    <t>Melania279557</t>
  </si>
  <si>
    <t>clausilvia31@gmail.com; paulinaautuhaman@gmail.com,Paulinaastuhuaman@gmail.com</t>
  </si>
  <si>
    <t>11-28774659</t>
  </si>
  <si>
    <t>Pack50</t>
  </si>
  <si>
    <t>0720541588000035244336</t>
  </si>
  <si>
    <t>Melania</t>
  </si>
  <si>
    <t>SAN MATIAS</t>
  </si>
  <si>
    <t>AUTUORI MARTIN</t>
  </si>
  <si>
    <t>Martin2031</t>
  </si>
  <si>
    <t>autuorimartin@gmail.com</t>
  </si>
  <si>
    <t>1144400771</t>
  </si>
  <si>
    <t>Martin</t>
  </si>
  <si>
    <t>COLECTORA</t>
  </si>
  <si>
    <t>AZOCAR SEPULVEDA MARCELO EDMUNDO</t>
  </si>
  <si>
    <t>Marce19872</t>
  </si>
  <si>
    <t>marceloazocar73@gmail.com; gastonpeinador@hotmail.com.ar</t>
  </si>
  <si>
    <t>11-54671708</t>
  </si>
  <si>
    <t xml:space="preserve"> VEYKAP PELUQUERIA</t>
  </si>
  <si>
    <t>bloqueado cv afip</t>
  </si>
  <si>
    <t>07200717788000037891004</t>
  </si>
  <si>
    <t>960201 - SERVICIOS DE PELUQUERÍA</t>
  </si>
  <si>
    <t>Peluquería</t>
  </si>
  <si>
    <t>Gastón</t>
  </si>
  <si>
    <t>Analia2725</t>
  </si>
  <si>
    <t>CHACRAS TERRAFE S.A.S</t>
  </si>
  <si>
    <t>Mariano202403</t>
  </si>
  <si>
    <t>Campo2024</t>
  </si>
  <si>
    <t>DDJJ WEB</t>
  </si>
  <si>
    <t>dicuzzomartin@gmail.com</t>
  </si>
  <si>
    <t>11-34155500</t>
  </si>
  <si>
    <t xml:space="preserve">no factura 
COD USUARIO DUCUZZOM
CONTRASEÑA p4v800xx
CLAVE DE FIRMAS 29055meet
Cuit 30716847620"
</t>
  </si>
  <si>
    <t>COD. EMPRESA 89588
COD USUARIO DUCUZZOM
CONTRASEÑA p4v800xx
CLAVE DE FIRMAS 29055meet
Cuit 30716847620</t>
  </si>
  <si>
    <t>410011 - CONSTRUCCIÓN, REFORMA Y REPARACIÓN DE EDIFICIOS RESIDENCIALES</t>
  </si>
  <si>
    <t>Construcción</t>
  </si>
  <si>
    <t>Martín</t>
  </si>
  <si>
    <t>DICUZZO MARIANO CARLOS</t>
  </si>
  <si>
    <t>Mariano2024</t>
  </si>
  <si>
    <t>Elpuestovinos@gmail.com; analiatriunfo.at@gmail.com; mjulietaanabella@gmail.com</t>
  </si>
  <si>
    <t>11-60936145</t>
  </si>
  <si>
    <t>CATA</t>
  </si>
  <si>
    <t>Usurio:mariano dicuzzo contraseña :aguale2509 municipio de escobar</t>
  </si>
  <si>
    <t>Blanqueo Dinero &amp; Bienes</t>
  </si>
  <si>
    <t>aguale25</t>
  </si>
  <si>
    <t>0270026710037941700019</t>
  </si>
  <si>
    <t>Cata</t>
  </si>
  <si>
    <t>561019 SERVICIOS DE EXPENDIO DE COMIDAS Y BEBIDAS EN ESTABLECIMIENTOS CON SERVICIO DE MESA Y/O EN MOSTRADOR N.C.P.</t>
  </si>
  <si>
    <t>A-00003</t>
  </si>
  <si>
    <t>NO</t>
  </si>
  <si>
    <t>Mariano</t>
  </si>
  <si>
    <t xml:space="preserve">TRIUNFO ANALIA CLAUDIA </t>
  </si>
  <si>
    <t>Em106380</t>
  </si>
  <si>
    <t>CATA VERMUTERÍA</t>
  </si>
  <si>
    <t>GANANCIAS</t>
  </si>
  <si>
    <t>0720388488000001018404</t>
  </si>
  <si>
    <t>561011 - SERVICIOS DE RESTAURANTES Y CANTINAS SIN ESPECTÁCULO</t>
  </si>
  <si>
    <t>B-00007</t>
  </si>
  <si>
    <t>6-7-</t>
  </si>
  <si>
    <t>1-7-</t>
  </si>
  <si>
    <t>Mendoza 1731 Local 12</t>
  </si>
  <si>
    <t>118-84160-8</t>
  </si>
  <si>
    <t>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</si>
</sst>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 #,##0.00_ ;_ * \-#,##0.00_ ;_ * &quot;-&quot;??_ ;_ @_ "/>
    <numFmt numFmtId="165" formatCode="_(&quot;$&quot;* #,##0.00_);_(&quot;$&quot;* \(#,##0.00\);_(&quot;$&quot;* &quot;-&quot;??_);_(@_)"/>
    <numFmt numFmtId="166" formatCode="_ * #,##0_ ;_ * \-#,##0_ ;_ * &quot;-&quot;??_ ;_ @_ "/>
    <numFmt numFmtId="167" formatCode="dd/mm/yyyy;@"/>
    <numFmt numFmtId="168" formatCode="0.0000%"/>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4"/>
      <color theme="1"/>
      <name val="Calibri"/>
      <family val="2"/>
      <scheme val="minor"/>
    </font>
    <font>
      <sz val="11"/>
      <color rgb="FF000000"/>
      <name val="Calibri"/>
      <family val="2"/>
      <scheme val="minor"/>
    </font>
    <font>
      <sz val="11"/>
      <color rgb="FF242424"/>
      <name val="Segoe UI"/>
      <family val="2"/>
    </font>
    <font>
      <b/>
      <sz val="10"/>
      <color theme="0"/>
      <name val="Calibri"/>
      <family val="2"/>
      <scheme val="minor"/>
    </font>
    <font>
      <sz val="10"/>
      <color theme="0"/>
      <name val="Calibri"/>
      <family val="2"/>
      <scheme val="minor"/>
    </font>
    <font>
      <sz val="10"/>
      <name val="Calibri"/>
      <family val="2"/>
      <scheme val="minor"/>
    </font>
    <font>
      <sz val="8"/>
      <color theme="0"/>
      <name val="Calibri"/>
      <family val="2"/>
      <scheme val="minor"/>
    </font>
    <font>
      <sz val="10"/>
      <color theme="1"/>
      <name val="Calibri"/>
      <family val="2"/>
      <scheme val="minor"/>
    </font>
    <font>
      <u/>
      <sz val="11"/>
      <color theme="10"/>
      <name val="Calibri"/>
      <family val="2"/>
    </font>
    <font>
      <sz val="9"/>
      <name val="Calibri"/>
      <family val="2"/>
      <scheme val="minor"/>
    </font>
    <font>
      <sz val="9"/>
      <color theme="0"/>
      <name val="Calibri"/>
      <family val="2"/>
      <scheme val="minor"/>
    </font>
    <font>
      <sz val="8"/>
      <name val="Calibri"/>
      <family val="2"/>
      <scheme val="minor"/>
    </font>
    <font>
      <b/>
      <sz val="11"/>
      <color indexed="8"/>
      <name val="Calibri"/>
      <family val="2"/>
    </font>
    <font>
      <b/>
      <sz val="9"/>
      <color theme="0"/>
      <name val="Calibri"/>
      <family val="2"/>
      <scheme val="minor"/>
    </font>
    <font>
      <b/>
      <sz val="8"/>
      <color theme="0"/>
      <name val="Calibri"/>
      <family val="2"/>
      <scheme val="minor"/>
    </font>
    <font>
      <sz val="8"/>
      <color theme="1"/>
      <name val="Calibri"/>
      <family val="2"/>
      <scheme val="minor"/>
    </font>
    <font>
      <sz val="11"/>
      <name val="Calibri"/>
      <family val="2"/>
    </font>
    <font>
      <u/>
      <sz val="11"/>
      <color rgb="FF0000FF"/>
      <name val="Calibri"/>
      <family val="2"/>
    </font>
    <font>
      <sz val="10"/>
      <name val="Arial"/>
      <family val="2"/>
    </font>
    <font>
      <u/>
      <sz val="11"/>
      <color rgb="FF0000FF"/>
      <name val="Calibri"/>
      <family val="2"/>
      <scheme val="minor"/>
    </font>
    <font>
      <sz val="10"/>
      <color theme="1"/>
      <name val="Arial"/>
      <family val="2"/>
    </font>
    <font>
      <sz val="8"/>
      <color rgb="FF000000"/>
      <name val="Calibri"/>
      <family val="2"/>
      <scheme val="minor"/>
    </font>
    <font>
      <sz val="11"/>
      <color rgb="FFFF0000"/>
      <name val="Calibri"/>
      <family val="2"/>
      <scheme val="minor"/>
    </font>
  </fonts>
  <fills count="46">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00FF00"/>
        <bgColor indexed="64"/>
      </patternFill>
    </fill>
    <fill>
      <patternFill patternType="solid">
        <fgColor theme="4" tint="0.79998168889431442"/>
        <bgColor theme="4" tint="0.79998168889431442"/>
      </patternFill>
    </fill>
    <fill>
      <patternFill patternType="solid">
        <fgColor rgb="FFFABF8F"/>
        <bgColor rgb="FFDCE6F1"/>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theme="6" tint="0.39997558519241921"/>
        <bgColor indexed="64"/>
      </patternFill>
    </fill>
    <fill>
      <patternFill patternType="solid">
        <fgColor rgb="FFFF0000"/>
        <bgColor indexed="64"/>
      </patternFill>
    </fill>
    <fill>
      <patternFill patternType="solid">
        <fgColor rgb="FFFFFFCC"/>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5" tint="0.39994506668294322"/>
        <bgColor indexed="64"/>
      </patternFill>
    </fill>
    <fill>
      <gradientFill degree="90">
        <stop position="0">
          <color theme="0"/>
        </stop>
        <stop position="0.5">
          <color theme="4"/>
        </stop>
        <stop position="1">
          <color theme="0"/>
        </stop>
      </gradientFill>
    </fill>
    <fill>
      <patternFill patternType="solid">
        <fgColor theme="8" tint="0.39997558519241921"/>
        <bgColor indexed="64"/>
      </patternFill>
    </fill>
    <fill>
      <gradientFill degree="270">
        <stop position="0">
          <color theme="0"/>
        </stop>
        <stop position="1">
          <color rgb="FFFF0000"/>
        </stop>
      </gradientFill>
    </fill>
    <fill>
      <gradientFill degree="270">
        <stop position="0">
          <color theme="0"/>
        </stop>
        <stop position="1">
          <color rgb="FFC00000"/>
        </stop>
      </gradientFill>
    </fill>
    <fill>
      <patternFill patternType="solid">
        <fgColor theme="6" tint="0.39994506668294322"/>
        <bgColor auto="1"/>
      </patternFill>
    </fill>
    <fill>
      <patternFill patternType="solid">
        <fgColor theme="4" tint="-0.249977111117893"/>
        <bgColor auto="1"/>
      </patternFill>
    </fill>
    <fill>
      <patternFill patternType="solid">
        <fgColor theme="6" tint="0.39994506668294322"/>
        <bgColor indexed="64"/>
      </patternFill>
    </fill>
    <fill>
      <patternFill patternType="solid">
        <fgColor theme="7" tint="0.39994506668294322"/>
        <bgColor indexed="64"/>
      </patternFill>
    </fill>
    <fill>
      <patternFill patternType="solid">
        <fgColor theme="0" tint="-0.34998626667073579"/>
        <bgColor indexed="64"/>
      </patternFill>
    </fill>
    <fill>
      <gradientFill degree="90">
        <stop position="0">
          <color theme="0"/>
        </stop>
        <stop position="0.5">
          <color theme="5" tint="0.40000610370189521"/>
        </stop>
        <stop position="1">
          <color theme="0"/>
        </stop>
      </gradientFill>
    </fill>
    <fill>
      <patternFill patternType="solid">
        <fgColor rgb="FFFFFF00"/>
        <bgColor auto="1"/>
      </patternFill>
    </fill>
    <fill>
      <patternFill patternType="solid">
        <fgColor theme="5" tint="0.39997558519241921"/>
        <bgColor indexed="64"/>
      </patternFill>
    </fill>
    <fill>
      <patternFill patternType="solid">
        <fgColor theme="9" tint="0.59999389629810485"/>
        <bgColor indexed="64"/>
      </patternFill>
    </fill>
    <fill>
      <patternFill patternType="solid">
        <fgColor indexed="14"/>
        <bgColor auto="1"/>
      </patternFill>
    </fill>
    <fill>
      <patternFill patternType="solid">
        <fgColor theme="7" tint="-0.249977111117893"/>
        <bgColor indexed="64"/>
      </patternFill>
    </fill>
    <fill>
      <patternFill patternType="solid">
        <fgColor theme="9" tint="0.39997558519241921"/>
        <bgColor theme="4"/>
      </patternFill>
    </fill>
    <fill>
      <patternFill patternType="solid">
        <fgColor theme="0" tint="-0.499984740745262"/>
        <bgColor theme="4"/>
      </patternFill>
    </fill>
    <fill>
      <patternFill patternType="solid">
        <fgColor theme="6" tint="-0.249977111117893"/>
        <bgColor theme="4"/>
      </patternFill>
    </fill>
    <fill>
      <patternFill patternType="solid">
        <fgColor theme="3" tint="0.39997558519241921"/>
        <bgColor theme="4"/>
      </patternFill>
    </fill>
    <fill>
      <patternFill patternType="solid">
        <fgColor theme="5" tint="-0.249977111117893"/>
        <bgColor theme="4"/>
      </patternFill>
    </fill>
    <fill>
      <patternFill patternType="solid">
        <fgColor theme="2" tint="-0.749992370372631"/>
        <bgColor theme="4"/>
      </patternFill>
    </fill>
    <fill>
      <patternFill patternType="solid">
        <fgColor rgb="FFFF66CC"/>
        <bgColor theme="4"/>
      </patternFill>
    </fill>
    <fill>
      <patternFill patternType="solid">
        <fgColor rgb="FFE8B6A2"/>
        <bgColor indexed="64"/>
      </patternFill>
    </fill>
    <fill>
      <patternFill patternType="solid">
        <fgColor theme="4"/>
        <bgColor theme="4"/>
      </patternFill>
    </fill>
    <fill>
      <patternFill patternType="solid">
        <fgColor theme="5" tint="0.39997558519241921"/>
        <bgColor theme="4"/>
      </patternFill>
    </fill>
    <fill>
      <patternFill patternType="solid">
        <fgColor rgb="FFFF66CC"/>
        <bgColor indexed="64"/>
      </patternFill>
    </fill>
    <fill>
      <patternFill patternType="solid">
        <fgColor theme="6" tint="-0.249977111117893"/>
        <bgColor indexed="64"/>
      </patternFill>
    </fill>
    <fill>
      <patternFill patternType="solid">
        <fgColor rgb="FFBFBFBF"/>
        <bgColor rgb="FF000000"/>
      </patternFill>
    </fill>
    <fill>
      <patternFill patternType="solid">
        <fgColor rgb="FFBFBFBF"/>
        <bgColor rgb="FFDCE6F1"/>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theme="4"/>
      </top>
      <bottom style="thin">
        <color theme="4"/>
      </bottom>
      <diagonal/>
    </border>
    <border>
      <left style="thin">
        <color rgb="FF4F81BD"/>
      </left>
      <right style="thin">
        <color rgb="FF4F81BD"/>
      </right>
      <top style="thin">
        <color rgb="FF4F81BD"/>
      </top>
      <bottom style="thin">
        <color rgb="FF4F81BD"/>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thin">
        <color indexed="64"/>
      </right>
      <top style="thin">
        <color indexed="64"/>
      </top>
      <bottom/>
      <diagonal/>
    </border>
    <border>
      <left style="thin">
        <color indexed="64"/>
      </left>
      <right style="thin">
        <color indexed="64"/>
      </right>
      <top/>
      <bottom/>
      <diagonal/>
    </border>
  </borders>
  <cellStyleXfs count="7">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alignment vertical="top"/>
      <protection locked="0"/>
    </xf>
    <xf numFmtId="0" fontId="23" fillId="0" borderId="0"/>
    <xf numFmtId="0" fontId="23" fillId="0" borderId="0"/>
  </cellStyleXfs>
  <cellXfs count="262">
    <xf numFmtId="0" fontId="0" fillId="0" borderId="0" xfId="0"/>
    <xf numFmtId="0" fontId="0" fillId="0" borderId="0" xfId="0" applyAlignment="1">
      <alignment horizontal="left"/>
    </xf>
    <xf numFmtId="0" fontId="4" fillId="0" borderId="0" xfId="0" applyFont="1" applyAlignment="1">
      <alignment horizontal="left"/>
    </xf>
    <xf numFmtId="0" fontId="2"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5" fillId="2" borderId="0" xfId="0" applyFont="1" applyFill="1" applyAlignment="1">
      <alignment horizontal="center"/>
    </xf>
    <xf numFmtId="14" fontId="4" fillId="0" borderId="0" xfId="0" applyNumberFormat="1" applyFont="1" applyAlignment="1">
      <alignment horizontal="center"/>
    </xf>
    <xf numFmtId="0" fontId="4" fillId="0" borderId="0" xfId="0" applyFont="1"/>
    <xf numFmtId="164" fontId="0" fillId="0" borderId="0" xfId="1" applyFont="1" applyAlignment="1"/>
    <xf numFmtId="165" fontId="0" fillId="3" borderId="0" xfId="2" applyFont="1" applyFill="1" applyAlignment="1">
      <alignment horizontal="left" vertical="center"/>
    </xf>
    <xf numFmtId="165" fontId="0" fillId="3" borderId="0" xfId="2" applyFont="1" applyFill="1" applyAlignment="1"/>
    <xf numFmtId="165" fontId="0" fillId="4" borderId="0" xfId="2" applyFont="1" applyFill="1" applyAlignment="1"/>
    <xf numFmtId="165" fontId="0" fillId="0" borderId="0" xfId="2" applyFont="1" applyAlignment="1"/>
    <xf numFmtId="166" fontId="0" fillId="0" borderId="0" xfId="1" applyNumberFormat="1" applyFont="1" applyAlignment="1"/>
    <xf numFmtId="0" fontId="0" fillId="5" borderId="1" xfId="0" applyFill="1" applyBorder="1" applyAlignment="1">
      <alignment horizontal="left" vertical="center"/>
    </xf>
    <xf numFmtId="0" fontId="0" fillId="2" borderId="1" xfId="0" applyFill="1" applyBorder="1" applyAlignment="1">
      <alignment horizontal="center" vertical="center"/>
    </xf>
    <xf numFmtId="0" fontId="6" fillId="0" borderId="2" xfId="0" applyFont="1" applyBorder="1" applyAlignment="1">
      <alignment horizontal="center" vertical="center"/>
    </xf>
    <xf numFmtId="0" fontId="7" fillId="0" borderId="0" xfId="0" applyFont="1"/>
    <xf numFmtId="49" fontId="0" fillId="0" borderId="0" xfId="1" quotePrefix="1" applyNumberFormat="1" applyFont="1" applyAlignment="1">
      <alignment horizontal="left"/>
    </xf>
    <xf numFmtId="0" fontId="4" fillId="6" borderId="3" xfId="0" applyFont="1" applyFill="1" applyBorder="1" applyAlignment="1">
      <alignment horizontal="left" vertical="center"/>
    </xf>
    <xf numFmtId="164" fontId="0" fillId="7" borderId="0" xfId="1" applyFont="1" applyFill="1" applyAlignment="1"/>
    <xf numFmtId="0" fontId="0" fillId="0" borderId="1" xfId="0" quotePrefix="1" applyBorder="1" applyAlignment="1">
      <alignment horizontal="left" vertical="center"/>
    </xf>
    <xf numFmtId="0" fontId="0" fillId="5" borderId="1" xfId="0" quotePrefix="1" applyFill="1" applyBorder="1" applyAlignment="1">
      <alignment horizontal="left" vertical="center"/>
    </xf>
    <xf numFmtId="0" fontId="0" fillId="8" borderId="1" xfId="0" applyFill="1" applyBorder="1" applyAlignment="1">
      <alignment horizontal="center" vertical="center"/>
    </xf>
    <xf numFmtId="0" fontId="0" fillId="0" borderId="0" xfId="0" quotePrefix="1" applyAlignment="1">
      <alignment horizontal="left"/>
    </xf>
    <xf numFmtId="0" fontId="4" fillId="5" borderId="1" xfId="0" applyFont="1" applyFill="1" applyBorder="1" applyAlignment="1">
      <alignment horizontal="left" vertical="center"/>
    </xf>
    <xf numFmtId="164" fontId="0" fillId="9" borderId="0" xfId="1" applyFont="1" applyFill="1" applyAlignment="1"/>
    <xf numFmtId="0" fontId="0" fillId="10" borderId="1" xfId="0" applyFill="1" applyBorder="1" applyAlignment="1">
      <alignment horizontal="center" vertical="center"/>
    </xf>
    <xf numFmtId="0" fontId="4" fillId="6" borderId="1" xfId="0" applyFont="1" applyFill="1" applyBorder="1" applyAlignment="1">
      <alignment horizontal="left" vertical="center"/>
    </xf>
    <xf numFmtId="164" fontId="0" fillId="11" borderId="0" xfId="1" applyFont="1" applyFill="1" applyAlignment="1"/>
    <xf numFmtId="0" fontId="0" fillId="12" borderId="1" xfId="0" applyFill="1" applyBorder="1" applyAlignment="1">
      <alignment horizontal="center" vertical="center"/>
    </xf>
    <xf numFmtId="0" fontId="2" fillId="8" borderId="0" xfId="0" applyFont="1" applyFill="1" applyAlignment="1">
      <alignment horizontal="center" vertical="center"/>
    </xf>
    <xf numFmtId="164" fontId="0" fillId="4" borderId="0" xfId="1" applyFont="1" applyFill="1" applyAlignment="1"/>
    <xf numFmtId="0" fontId="4" fillId="5" borderId="1" xfId="0" applyFont="1" applyFill="1" applyBorder="1" applyAlignment="1">
      <alignment horizontal="center" vertical="center"/>
    </xf>
    <xf numFmtId="0" fontId="0" fillId="0" borderId="2" xfId="0" applyBorder="1" applyAlignment="1">
      <alignment horizontal="center" vertical="center"/>
    </xf>
    <xf numFmtId="0" fontId="0" fillId="2" borderId="0" xfId="0" applyFill="1" applyAlignment="1">
      <alignment horizontal="left"/>
    </xf>
    <xf numFmtId="166" fontId="0" fillId="0" borderId="0" xfId="1" applyNumberFormat="1" applyFont="1" applyAlignment="1">
      <alignment horizontal="left"/>
    </xf>
    <xf numFmtId="0" fontId="8" fillId="13" borderId="1" xfId="0" applyFont="1" applyFill="1" applyBorder="1" applyAlignment="1">
      <alignment horizontal="center" vertical="center" textRotation="90"/>
    </xf>
    <xf numFmtId="0" fontId="9" fillId="13" borderId="1" xfId="0" applyFont="1" applyFill="1" applyBorder="1" applyAlignment="1">
      <alignment horizontal="center" vertical="center"/>
    </xf>
    <xf numFmtId="0" fontId="9" fillId="13" borderId="1" xfId="0" applyFont="1" applyFill="1" applyBorder="1" applyAlignment="1">
      <alignment horizontal="left" vertical="center"/>
    </xf>
    <xf numFmtId="0" fontId="9" fillId="13" borderId="4" xfId="0" applyFont="1" applyFill="1" applyBorder="1" applyAlignment="1">
      <alignment horizontal="left" vertical="center"/>
    </xf>
    <xf numFmtId="0" fontId="10" fillId="13" borderId="1" xfId="0" applyFont="1" applyFill="1" applyBorder="1" applyAlignment="1">
      <alignment horizontal="left" vertical="center"/>
    </xf>
    <xf numFmtId="0" fontId="11" fillId="13" borderId="1" xfId="0" applyFont="1" applyFill="1" applyBorder="1" applyAlignment="1">
      <alignment horizontal="center" vertical="center"/>
    </xf>
    <xf numFmtId="0" fontId="9" fillId="14" borderId="5" xfId="0" applyFont="1" applyFill="1" applyBorder="1" applyAlignment="1">
      <alignment horizontal="center" vertical="center"/>
    </xf>
    <xf numFmtId="0" fontId="9" fillId="2" borderId="1" xfId="0" applyFont="1" applyFill="1" applyBorder="1" applyAlignment="1">
      <alignment horizontal="left" vertical="center"/>
    </xf>
    <xf numFmtId="0" fontId="3" fillId="13" borderId="1" xfId="0" applyFont="1" applyFill="1" applyBorder="1" applyAlignment="1">
      <alignment horizontal="center" vertical="center"/>
    </xf>
    <xf numFmtId="0" fontId="9" fillId="14" borderId="1" xfId="0" applyFont="1" applyFill="1" applyBorder="1" applyAlignment="1">
      <alignment horizontal="center" vertical="center"/>
    </xf>
    <xf numFmtId="0" fontId="9" fillId="15" borderId="1" xfId="0" applyFont="1" applyFill="1" applyBorder="1" applyAlignment="1">
      <alignment horizontal="center" vertical="center"/>
    </xf>
    <xf numFmtId="0" fontId="9" fillId="16" borderId="1" xfId="0" applyFont="1" applyFill="1" applyBorder="1" applyAlignment="1">
      <alignment horizontal="center" vertical="center"/>
    </xf>
    <xf numFmtId="0" fontId="11" fillId="16" borderId="1" xfId="0" applyFont="1" applyFill="1" applyBorder="1" applyAlignment="1">
      <alignment horizontal="center" vertical="center" textRotation="90"/>
    </xf>
    <xf numFmtId="0" fontId="9" fillId="14" borderId="1" xfId="0" applyFont="1" applyFill="1" applyBorder="1" applyAlignment="1">
      <alignment horizontal="left" vertical="center"/>
    </xf>
    <xf numFmtId="0" fontId="12" fillId="10" borderId="1" xfId="0" applyFont="1" applyFill="1" applyBorder="1" applyAlignment="1">
      <alignment horizontal="center" vertical="center"/>
    </xf>
    <xf numFmtId="0" fontId="9" fillId="17" borderId="1" xfId="0" applyFont="1" applyFill="1" applyBorder="1" applyAlignment="1">
      <alignment horizontal="center" vertical="center"/>
    </xf>
    <xf numFmtId="0" fontId="9" fillId="18" borderId="1" xfId="0" applyFont="1" applyFill="1" applyBorder="1" applyAlignment="1">
      <alignment horizontal="center" vertical="center"/>
    </xf>
    <xf numFmtId="0" fontId="9" fillId="19" borderId="1" xfId="0" applyFont="1" applyFill="1" applyBorder="1" applyAlignment="1">
      <alignment horizontal="center" vertical="center"/>
    </xf>
    <xf numFmtId="0" fontId="9" fillId="20" borderId="1" xfId="0" applyFont="1" applyFill="1" applyBorder="1" applyAlignment="1">
      <alignment horizontal="center" vertical="center"/>
    </xf>
    <xf numFmtId="0" fontId="9" fillId="21" borderId="1" xfId="0" applyFont="1" applyFill="1" applyBorder="1" applyAlignment="1">
      <alignment horizontal="center" vertical="center"/>
    </xf>
    <xf numFmtId="0" fontId="9" fillId="22" borderId="1" xfId="0" applyFont="1" applyFill="1" applyBorder="1" applyAlignment="1">
      <alignment horizontal="center" vertical="center"/>
    </xf>
    <xf numFmtId="0" fontId="13" fillId="23" borderId="1" xfId="4" applyFill="1" applyBorder="1" applyAlignment="1" applyProtection="1">
      <alignment horizontal="left" vertical="center"/>
    </xf>
    <xf numFmtId="0" fontId="11" fillId="24" borderId="1" xfId="0" applyFont="1" applyFill="1" applyBorder="1" applyAlignment="1">
      <alignment horizontal="center" vertical="center"/>
    </xf>
    <xf numFmtId="0" fontId="9" fillId="24" borderId="1" xfId="0" applyFont="1" applyFill="1" applyBorder="1" applyAlignment="1">
      <alignment horizontal="center" vertical="center"/>
    </xf>
    <xf numFmtId="14" fontId="10" fillId="22" borderId="1" xfId="0" applyNumberFormat="1" applyFont="1" applyFill="1" applyBorder="1" applyAlignment="1">
      <alignment horizontal="center" vertical="center"/>
    </xf>
    <xf numFmtId="14" fontId="14" fillId="22" borderId="1" xfId="0" applyNumberFormat="1" applyFont="1" applyFill="1" applyBorder="1" applyAlignment="1">
      <alignment horizontal="center" vertical="center"/>
    </xf>
    <xf numFmtId="0" fontId="9" fillId="25" borderId="1" xfId="0" applyFont="1" applyFill="1" applyBorder="1" applyAlignment="1">
      <alignment horizontal="center" vertical="center"/>
    </xf>
    <xf numFmtId="0" fontId="10" fillId="26" borderId="1" xfId="0" applyFont="1" applyFill="1" applyBorder="1" applyAlignment="1">
      <alignment horizontal="center" vertical="center"/>
    </xf>
    <xf numFmtId="0" fontId="15" fillId="26" borderId="1" xfId="0" applyFont="1" applyFill="1" applyBorder="1" applyAlignment="1">
      <alignment horizontal="center" vertical="center"/>
    </xf>
    <xf numFmtId="0" fontId="16" fillId="27"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28" borderId="1" xfId="0" applyFont="1" applyFill="1" applyBorder="1" applyAlignment="1">
      <alignment horizontal="center" vertical="center"/>
    </xf>
    <xf numFmtId="0" fontId="9" fillId="29" borderId="1" xfId="0" applyFont="1" applyFill="1" applyBorder="1" applyAlignment="1">
      <alignment horizontal="center" vertical="center"/>
    </xf>
    <xf numFmtId="49" fontId="17" fillId="30" borderId="6" xfId="0" applyNumberFormat="1" applyFont="1" applyFill="1" applyBorder="1" applyAlignment="1">
      <alignment horizontal="center"/>
    </xf>
    <xf numFmtId="0" fontId="9" fillId="31" borderId="1" xfId="0" applyFont="1" applyFill="1" applyBorder="1" applyAlignment="1">
      <alignment horizontal="center" vertical="center"/>
    </xf>
    <xf numFmtId="0" fontId="11" fillId="31" borderId="1" xfId="0" applyFont="1" applyFill="1" applyBorder="1" applyAlignment="1">
      <alignment horizontal="center" vertical="center"/>
    </xf>
    <xf numFmtId="0" fontId="8" fillId="32" borderId="1" xfId="0" applyFont="1" applyFill="1" applyBorder="1" applyAlignment="1">
      <alignment horizontal="center" vertical="center"/>
    </xf>
    <xf numFmtId="0" fontId="8" fillId="33" borderId="1" xfId="0" applyFont="1" applyFill="1" applyBorder="1" applyAlignment="1">
      <alignment horizontal="center" vertical="center"/>
    </xf>
    <xf numFmtId="0" fontId="8" fillId="34" borderId="1" xfId="0" applyFont="1" applyFill="1" applyBorder="1" applyAlignment="1">
      <alignment horizontal="center" vertical="center"/>
    </xf>
    <xf numFmtId="0" fontId="8" fillId="35" borderId="1" xfId="0" applyFont="1" applyFill="1" applyBorder="1" applyAlignment="1">
      <alignment horizontal="center" vertical="center"/>
    </xf>
    <xf numFmtId="0" fontId="8" fillId="36" borderId="1" xfId="0" applyFont="1" applyFill="1" applyBorder="1" applyAlignment="1">
      <alignment horizontal="center" vertical="center"/>
    </xf>
    <xf numFmtId="0" fontId="8" fillId="37" borderId="1" xfId="0" applyFont="1" applyFill="1" applyBorder="1" applyAlignment="1">
      <alignment horizontal="center" vertical="center"/>
    </xf>
    <xf numFmtId="0" fontId="8" fillId="29" borderId="1" xfId="0" applyFont="1" applyFill="1" applyBorder="1" applyAlignment="1">
      <alignment horizontal="center" vertical="center"/>
    </xf>
    <xf numFmtId="0" fontId="8" fillId="38" borderId="1" xfId="0" applyFont="1" applyFill="1" applyBorder="1" applyAlignment="1">
      <alignment horizontal="center" vertical="center"/>
    </xf>
    <xf numFmtId="0" fontId="12" fillId="0" borderId="5" xfId="0" applyFont="1" applyBorder="1" applyAlignment="1">
      <alignment horizontal="center" vertical="center"/>
    </xf>
    <xf numFmtId="0" fontId="8" fillId="13" borderId="5" xfId="0" applyFont="1" applyFill="1" applyBorder="1" applyAlignment="1">
      <alignment horizontal="center" vertical="center"/>
    </xf>
    <xf numFmtId="0" fontId="8" fillId="14" borderId="5" xfId="0" applyFont="1" applyFill="1" applyBorder="1" applyAlignment="1">
      <alignment horizontal="center" vertical="center"/>
    </xf>
    <xf numFmtId="164" fontId="18" fillId="39" borderId="5" xfId="1" applyFont="1" applyFill="1" applyBorder="1" applyAlignment="1">
      <alignment horizontal="center" vertical="center"/>
    </xf>
    <xf numFmtId="164" fontId="8" fillId="39" borderId="5" xfId="1" applyFont="1" applyFill="1" applyBorder="1" applyAlignment="1">
      <alignment horizontal="center" vertical="center"/>
    </xf>
    <xf numFmtId="165" fontId="19" fillId="31" borderId="5" xfId="2" applyFont="1" applyFill="1" applyBorder="1" applyAlignment="1">
      <alignment horizontal="left" vertical="center"/>
    </xf>
    <xf numFmtId="165" fontId="19" fillId="31" borderId="5" xfId="2" applyFont="1" applyFill="1" applyBorder="1" applyAlignment="1">
      <alignment horizontal="center" vertical="center"/>
    </xf>
    <xf numFmtId="165" fontId="8" fillId="40" borderId="5" xfId="2" applyFont="1" applyFill="1" applyBorder="1" applyAlignment="1">
      <alignment horizontal="center" vertical="center"/>
    </xf>
    <xf numFmtId="165" fontId="8" fillId="41" borderId="5" xfId="2" applyFont="1" applyFill="1" applyBorder="1" applyAlignment="1">
      <alignment horizontal="center" vertical="center"/>
    </xf>
    <xf numFmtId="164" fontId="8" fillId="40" borderId="5" xfId="1" applyFont="1" applyFill="1" applyBorder="1" applyAlignment="1">
      <alignment horizontal="center" vertical="center"/>
    </xf>
    <xf numFmtId="166" fontId="8" fillId="40" borderId="5" xfId="1" applyNumberFormat="1" applyFont="1" applyFill="1" applyBorder="1" applyAlignment="1">
      <alignment horizontal="center" vertical="center"/>
    </xf>
    <xf numFmtId="166" fontId="8" fillId="38" borderId="5" xfId="1" applyNumberFormat="1" applyFont="1" applyFill="1" applyBorder="1" applyAlignment="1">
      <alignment horizontal="center" vertical="center"/>
    </xf>
    <xf numFmtId="166" fontId="18" fillId="40" borderId="5" xfId="1" applyNumberFormat="1" applyFont="1" applyFill="1" applyBorder="1" applyAlignment="1">
      <alignment horizontal="center" vertical="center"/>
    </xf>
    <xf numFmtId="0" fontId="8" fillId="40" borderId="5" xfId="0" applyFont="1" applyFill="1" applyBorder="1" applyAlignment="1">
      <alignment horizontal="center" vertical="center"/>
    </xf>
    <xf numFmtId="0" fontId="12" fillId="0" borderId="5" xfId="0" applyFont="1" applyBorder="1" applyAlignment="1">
      <alignment horizontal="left" vertical="center"/>
    </xf>
    <xf numFmtId="0" fontId="12" fillId="0" borderId="0" xfId="0" applyFont="1" applyAlignment="1">
      <alignment horizontal="center" vertical="center"/>
    </xf>
    <xf numFmtId="0" fontId="0" fillId="0" borderId="1" xfId="0" applyBorder="1" applyAlignment="1">
      <alignment horizontal="center" vertical="center"/>
    </xf>
    <xf numFmtId="167" fontId="20" fillId="0" borderId="1" xfId="0" applyNumberFormat="1" applyFont="1" applyBorder="1" applyAlignment="1">
      <alignment horizontal="left" vertical="center"/>
    </xf>
    <xf numFmtId="14" fontId="0" fillId="0" borderId="1" xfId="0" applyNumberFormat="1" applyBorder="1" applyAlignment="1">
      <alignment horizontal="left" vertical="center"/>
    </xf>
    <xf numFmtId="0" fontId="0" fillId="0" borderId="7" xfId="0" applyBorder="1" applyAlignment="1">
      <alignment horizontal="left" vertical="center"/>
    </xf>
    <xf numFmtId="0" fontId="0" fillId="0" borderId="0" xfId="0" applyAlignment="1">
      <alignment horizontal="left" vertical="center"/>
    </xf>
    <xf numFmtId="0" fontId="21" fillId="0" borderId="8" xfId="4" quotePrefix="1" applyFont="1" applyFill="1" applyBorder="1" applyAlignment="1" applyProtection="1">
      <alignment horizontal="left" vertical="center"/>
    </xf>
    <xf numFmtId="0" fontId="0" fillId="0" borderId="1" xfId="0" applyBorder="1" applyAlignment="1">
      <alignment horizontal="left" vertical="center"/>
    </xf>
    <xf numFmtId="10" fontId="0" fillId="0" borderId="0" xfId="0" applyNumberFormat="1" applyAlignment="1">
      <alignment horizontal="center"/>
    </xf>
    <xf numFmtId="10" fontId="0" fillId="0" borderId="1" xfId="0" applyNumberFormat="1" applyBorder="1"/>
    <xf numFmtId="0" fontId="0" fillId="0" borderId="1" xfId="0" applyBorder="1" applyAlignment="1">
      <alignment horizontal="center"/>
    </xf>
    <xf numFmtId="0" fontId="0" fillId="0" borderId="1" xfId="0" quotePrefix="1" applyBorder="1" applyAlignment="1">
      <alignment horizontal="center" vertical="center"/>
    </xf>
    <xf numFmtId="0" fontId="0" fillId="0" borderId="0" xfId="0" quotePrefix="1" applyAlignment="1">
      <alignment horizontal="center"/>
    </xf>
    <xf numFmtId="0" fontId="22" fillId="0" borderId="0" xfId="4" applyFont="1" applyBorder="1" applyAlignment="1" applyProtection="1"/>
    <xf numFmtId="0" fontId="21" fillId="0" borderId="4" xfId="4" applyFont="1" applyFill="1" applyBorder="1" applyAlignment="1" applyProtection="1">
      <alignment horizontal="left" vertical="center"/>
    </xf>
    <xf numFmtId="0" fontId="4" fillId="0" borderId="1" xfId="0" applyFont="1" applyBorder="1" applyAlignment="1">
      <alignment horizontal="left" vertical="center"/>
    </xf>
    <xf numFmtId="14" fontId="4" fillId="0" borderId="1" xfId="0" quotePrefix="1" applyNumberFormat="1" applyFont="1" applyBorder="1" applyAlignment="1">
      <alignment horizontal="center" vertical="center"/>
    </xf>
    <xf numFmtId="0" fontId="4" fillId="0" borderId="1" xfId="0" quotePrefix="1" applyFont="1" applyBorder="1" applyAlignment="1">
      <alignment horizontal="center" vertical="center"/>
    </xf>
    <xf numFmtId="0" fontId="0" fillId="0" borderId="4" xfId="0" applyBorder="1" applyAlignment="1">
      <alignment horizontal="left" vertical="center"/>
    </xf>
    <xf numFmtId="0" fontId="4" fillId="0" borderId="1" xfId="0" quotePrefix="1" applyFont="1" applyBorder="1" applyAlignment="1">
      <alignment horizontal="left" vertical="center"/>
    </xf>
    <xf numFmtId="0" fontId="0" fillId="8" borderId="1" xfId="0" applyFill="1" applyBorder="1" applyAlignment="1">
      <alignment horizontal="left" vertical="center"/>
    </xf>
    <xf numFmtId="0" fontId="0" fillId="0" borderId="1" xfId="0" quotePrefix="1" applyBorder="1"/>
    <xf numFmtId="1" fontId="0" fillId="0" borderId="1" xfId="0" quotePrefix="1" applyNumberFormat="1" applyBorder="1" applyAlignment="1">
      <alignment horizontal="left" vertical="center"/>
    </xf>
    <xf numFmtId="0" fontId="13" fillId="0" borderId="1" xfId="4" quotePrefix="1" applyFill="1" applyBorder="1" applyAlignment="1" applyProtection="1">
      <alignment horizontal="left" vertical="center"/>
    </xf>
    <xf numFmtId="168" fontId="23" fillId="0" borderId="0" xfId="3" applyNumberFormat="1" applyFont="1" applyFill="1" applyBorder="1" applyAlignment="1"/>
    <xf numFmtId="166" fontId="23" fillId="0" borderId="0" xfId="1" applyNumberFormat="1" applyFont="1" applyFill="1" applyBorder="1" applyAlignment="1"/>
    <xf numFmtId="10" fontId="23" fillId="0" borderId="0" xfId="3" applyNumberFormat="1" applyFont="1" applyFill="1" applyBorder="1" applyAlignment="1"/>
    <xf numFmtId="0" fontId="0" fillId="0" borderId="0" xfId="0" quotePrefix="1" applyAlignment="1">
      <alignment horizontal="left" vertical="center"/>
    </xf>
    <xf numFmtId="165" fontId="0" fillId="0" borderId="1" xfId="2" applyFont="1" applyFill="1" applyBorder="1" applyAlignment="1">
      <alignment horizontal="left" vertical="center"/>
    </xf>
    <xf numFmtId="164" fontId="0" fillId="0" borderId="1" xfId="1" quotePrefix="1" applyFont="1" applyFill="1" applyBorder="1" applyAlignment="1">
      <alignment horizontal="left" vertical="center"/>
    </xf>
    <xf numFmtId="166" fontId="0" fillId="0" borderId="1" xfId="1" quotePrefix="1" applyNumberFormat="1" applyFont="1" applyFill="1" applyBorder="1" applyAlignment="1">
      <alignment horizontal="left" vertical="center"/>
    </xf>
    <xf numFmtId="164" fontId="0" fillId="0" borderId="1" xfId="1" applyFont="1" applyFill="1" applyBorder="1" applyAlignment="1">
      <alignment horizontal="left" vertical="center"/>
    </xf>
    <xf numFmtId="166" fontId="0" fillId="0" borderId="7" xfId="1" applyNumberFormat="1" applyFont="1" applyFill="1" applyBorder="1" applyAlignment="1">
      <alignment horizontal="left" vertical="center"/>
    </xf>
    <xf numFmtId="166" fontId="0" fillId="0" borderId="1" xfId="1" applyNumberFormat="1" applyFont="1" applyFill="1" applyBorder="1" applyAlignment="1">
      <alignment horizontal="left" vertical="center"/>
    </xf>
    <xf numFmtId="0" fontId="0" fillId="0" borderId="0" xfId="0" quotePrefix="1"/>
    <xf numFmtId="0" fontId="0" fillId="0" borderId="7" xfId="0" applyBorder="1" applyAlignment="1">
      <alignment horizontal="left"/>
    </xf>
    <xf numFmtId="10" fontId="0" fillId="0" borderId="0" xfId="0" quotePrefix="1" applyNumberFormat="1" applyAlignment="1">
      <alignment horizontal="center"/>
    </xf>
    <xf numFmtId="10" fontId="4" fillId="0" borderId="1" xfId="0" applyNumberFormat="1" applyFont="1" applyBorder="1"/>
    <xf numFmtId="0" fontId="0" fillId="0" borderId="1" xfId="0" applyBorder="1" applyAlignment="1">
      <alignment vertical="center"/>
    </xf>
    <xf numFmtId="0" fontId="0" fillId="0" borderId="0" xfId="0" quotePrefix="1" applyAlignment="1">
      <alignment horizontal="center" vertical="center"/>
    </xf>
    <xf numFmtId="0" fontId="22" fillId="0" borderId="0" xfId="4" applyFont="1" applyFill="1" applyBorder="1" applyAlignment="1" applyProtection="1">
      <alignment horizontal="left" vertical="center"/>
    </xf>
    <xf numFmtId="0" fontId="21" fillId="0" borderId="1" xfId="4" applyFont="1" applyFill="1" applyBorder="1" applyAlignment="1" applyProtection="1">
      <alignment horizontal="left" vertical="center"/>
    </xf>
    <xf numFmtId="0" fontId="0" fillId="0" borderId="4" xfId="0" quotePrefix="1" applyBorder="1" applyAlignment="1">
      <alignment horizontal="left" vertical="center"/>
    </xf>
    <xf numFmtId="14" fontId="4" fillId="0" borderId="4" xfId="0" quotePrefix="1" applyNumberFormat="1" applyFont="1" applyBorder="1" applyAlignment="1">
      <alignment horizontal="center" vertical="center"/>
    </xf>
    <xf numFmtId="0" fontId="4" fillId="0" borderId="4" xfId="0" quotePrefix="1" applyFont="1" applyBorder="1" applyAlignment="1">
      <alignment horizontal="center" vertical="center"/>
    </xf>
    <xf numFmtId="0" fontId="21" fillId="0" borderId="1" xfId="4" quotePrefix="1" applyFont="1" applyFill="1" applyBorder="1" applyAlignment="1" applyProtection="1">
      <alignment horizontal="left" vertical="center"/>
    </xf>
    <xf numFmtId="14" fontId="13" fillId="0" borderId="1" xfId="4" quotePrefix="1" applyNumberFormat="1" applyFill="1" applyBorder="1" applyAlignment="1" applyProtection="1">
      <alignment horizontal="left" vertical="center"/>
    </xf>
    <xf numFmtId="0" fontId="0" fillId="0" borderId="9" xfId="0" quotePrefix="1" applyBorder="1" applyAlignment="1">
      <alignment horizontal="left" vertical="center"/>
    </xf>
    <xf numFmtId="14" fontId="0" fillId="0" borderId="1" xfId="0" quotePrefix="1" applyNumberFormat="1" applyBorder="1" applyAlignment="1">
      <alignment horizontal="left" vertical="center"/>
    </xf>
    <xf numFmtId="166" fontId="0" fillId="0" borderId="10" xfId="1" applyNumberFormat="1" applyFont="1" applyBorder="1" applyAlignment="1"/>
    <xf numFmtId="164" fontId="0" fillId="0" borderId="7" xfId="1" applyFont="1" applyFill="1" applyBorder="1" applyAlignment="1">
      <alignment horizontal="left" vertical="center"/>
    </xf>
    <xf numFmtId="14" fontId="0" fillId="42" borderId="1" xfId="0" quotePrefix="1" applyNumberFormat="1" applyFill="1" applyBorder="1" applyAlignment="1">
      <alignment horizontal="center" vertical="center"/>
    </xf>
    <xf numFmtId="0" fontId="24" fillId="0" borderId="1" xfId="0" applyFont="1" applyBorder="1"/>
    <xf numFmtId="0" fontId="0" fillId="3" borderId="4" xfId="0" applyFill="1" applyBorder="1" applyAlignment="1">
      <alignment horizontal="left" vertical="center"/>
    </xf>
    <xf numFmtId="0" fontId="23" fillId="0" borderId="1" xfId="5" applyBorder="1"/>
    <xf numFmtId="10" fontId="4" fillId="0" borderId="1" xfId="3" applyNumberFormat="1" applyFont="1" applyFill="1" applyBorder="1" applyAlignment="1">
      <alignment horizontal="left" vertical="center"/>
    </xf>
    <xf numFmtId="10" fontId="0" fillId="0" borderId="1" xfId="3" applyNumberFormat="1" applyFont="1" applyFill="1" applyBorder="1" applyAlignment="1">
      <alignment horizontal="left" vertical="center"/>
    </xf>
    <xf numFmtId="10" fontId="4" fillId="0" borderId="1" xfId="0" applyNumberFormat="1" applyFont="1" applyBorder="1" applyAlignment="1">
      <alignment horizontal="left" vertical="center"/>
    </xf>
    <xf numFmtId="10" fontId="22" fillId="0" borderId="0" xfId="4" applyNumberFormat="1" applyFont="1" applyFill="1" applyBorder="1" applyAlignment="1" applyProtection="1">
      <alignment horizontal="left" vertical="center"/>
    </xf>
    <xf numFmtId="0" fontId="0" fillId="0" borderId="1" xfId="0" applyBorder="1"/>
    <xf numFmtId="0" fontId="4" fillId="0" borderId="1" xfId="0" applyFont="1" applyBorder="1" applyAlignment="1">
      <alignment horizontal="left"/>
    </xf>
    <xf numFmtId="0" fontId="13" fillId="0" borderId="4" xfId="4" applyFill="1" applyBorder="1" applyAlignment="1" applyProtection="1"/>
    <xf numFmtId="0" fontId="0" fillId="0" borderId="4" xfId="0" applyBorder="1"/>
    <xf numFmtId="14" fontId="4" fillId="0" borderId="4" xfId="0" applyNumberFormat="1" applyFont="1" applyBorder="1" applyAlignment="1">
      <alignment horizontal="center"/>
    </xf>
    <xf numFmtId="0" fontId="0" fillId="0" borderId="4" xfId="0" applyBorder="1" applyAlignment="1">
      <alignment horizontal="center"/>
    </xf>
    <xf numFmtId="0" fontId="0" fillId="42" borderId="1" xfId="0" quotePrefix="1" applyFill="1" applyBorder="1" applyAlignment="1">
      <alignment horizontal="center" vertical="center"/>
    </xf>
    <xf numFmtId="0" fontId="0" fillId="43" borderId="1" xfId="0" applyFill="1" applyBorder="1" applyAlignment="1">
      <alignment horizontal="center" vertical="center"/>
    </xf>
    <xf numFmtId="0" fontId="25" fillId="0" borderId="1" xfId="0" applyFont="1" applyBorder="1"/>
    <xf numFmtId="1" fontId="0" fillId="0" borderId="1" xfId="0" quotePrefix="1" applyNumberFormat="1" applyBorder="1" applyAlignment="1">
      <alignment horizontal="center" vertical="center"/>
    </xf>
    <xf numFmtId="0" fontId="6" fillId="44" borderId="1" xfId="0" applyFont="1" applyFill="1" applyBorder="1" applyAlignment="1">
      <alignment horizontal="left" vertical="center"/>
    </xf>
    <xf numFmtId="0" fontId="0" fillId="0" borderId="1" xfId="0" quotePrefix="1" applyBorder="1" applyAlignment="1">
      <alignment horizontal="left"/>
    </xf>
    <xf numFmtId="14" fontId="22" fillId="0" borderId="0" xfId="4" applyNumberFormat="1" applyFont="1" applyFill="1" applyBorder="1" applyAlignment="1" applyProtection="1">
      <alignment horizontal="left" vertical="center"/>
    </xf>
    <xf numFmtId="0" fontId="4" fillId="0" borderId="1" xfId="0" quotePrefix="1" applyFont="1" applyBorder="1" applyAlignment="1">
      <alignment horizontal="left"/>
    </xf>
    <xf numFmtId="0" fontId="0" fillId="0" borderId="4" xfId="0" quotePrefix="1" applyBorder="1"/>
    <xf numFmtId="14" fontId="4" fillId="0" borderId="4" xfId="0" quotePrefix="1" applyNumberFormat="1" applyFont="1" applyBorder="1" applyAlignment="1">
      <alignment horizontal="center"/>
    </xf>
    <xf numFmtId="0" fontId="0" fillId="0" borderId="4" xfId="0" quotePrefix="1" applyBorder="1" applyAlignment="1">
      <alignment horizontal="center"/>
    </xf>
    <xf numFmtId="0" fontId="4" fillId="3" borderId="1" xfId="0" quotePrefix="1" applyFont="1" applyFill="1" applyBorder="1" applyAlignment="1">
      <alignment horizontal="left" vertical="center"/>
    </xf>
    <xf numFmtId="0" fontId="4" fillId="0" borderId="1" xfId="0" quotePrefix="1" applyFont="1" applyBorder="1"/>
    <xf numFmtId="0" fontId="0" fillId="0" borderId="1" xfId="0" quotePrefix="1" applyBorder="1" applyAlignment="1">
      <alignment horizontal="center"/>
    </xf>
    <xf numFmtId="165" fontId="0" fillId="4" borderId="1" xfId="2" applyFont="1" applyFill="1" applyBorder="1" applyAlignment="1">
      <alignment horizontal="left" vertical="center"/>
    </xf>
    <xf numFmtId="166" fontId="0" fillId="0" borderId="7" xfId="1" quotePrefix="1" applyNumberFormat="1" applyFont="1" applyFill="1" applyBorder="1" applyAlignment="1">
      <alignment horizontal="left" vertical="center"/>
    </xf>
    <xf numFmtId="0" fontId="0" fillId="0" borderId="3" xfId="0" applyBorder="1" applyAlignment="1">
      <alignment horizontal="left"/>
    </xf>
    <xf numFmtId="0" fontId="6" fillId="0" borderId="1" xfId="0" quotePrefix="1" applyFont="1" applyBorder="1" applyAlignment="1">
      <alignment horizontal="left"/>
    </xf>
    <xf numFmtId="0" fontId="25" fillId="0" borderId="1" xfId="0" quotePrefix="1" applyFont="1" applyBorder="1"/>
    <xf numFmtId="0" fontId="0" fillId="0" borderId="1" xfId="0" applyBorder="1" applyAlignment="1">
      <alignment horizontal="left"/>
    </xf>
    <xf numFmtId="0" fontId="22" fillId="0" borderId="0" xfId="4" applyFont="1" applyFill="1" applyBorder="1" applyAlignment="1" applyProtection="1"/>
    <xf numFmtId="14" fontId="4" fillId="0" borderId="1" xfId="0" quotePrefix="1" applyNumberFormat="1" applyFont="1" applyBorder="1" applyAlignment="1">
      <alignment horizontal="center"/>
    </xf>
    <xf numFmtId="14" fontId="0" fillId="0" borderId="1" xfId="0" applyNumberFormat="1" applyBorder="1"/>
    <xf numFmtId="0" fontId="6" fillId="0" borderId="1" xfId="0" applyFont="1" applyBorder="1" applyAlignment="1">
      <alignment horizontal="center" vertical="center"/>
    </xf>
    <xf numFmtId="167" fontId="26" fillId="0" borderId="1" xfId="0" applyNumberFormat="1" applyFont="1" applyBorder="1" applyAlignment="1">
      <alignment horizontal="left" vertical="center"/>
    </xf>
    <xf numFmtId="0" fontId="6" fillId="0" borderId="1" xfId="0" applyFont="1" applyBorder="1"/>
    <xf numFmtId="0" fontId="6" fillId="0" borderId="7" xfId="0" applyFont="1" applyBorder="1" applyAlignment="1">
      <alignment horizontal="left"/>
    </xf>
    <xf numFmtId="0" fontId="6" fillId="0" borderId="0" xfId="0" applyFont="1" applyAlignment="1">
      <alignment horizontal="left"/>
    </xf>
    <xf numFmtId="0" fontId="6" fillId="0" borderId="1" xfId="0" applyFont="1" applyBorder="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6" fillId="0" borderId="1" xfId="0" applyFont="1" applyBorder="1" applyAlignment="1">
      <alignment horizontal="left" vertical="center"/>
    </xf>
    <xf numFmtId="0" fontId="13" fillId="0" borderId="0" xfId="4" applyAlignment="1" applyProtection="1"/>
    <xf numFmtId="14" fontId="21" fillId="0" borderId="1" xfId="4" applyNumberFormat="1" applyFont="1" applyFill="1" applyBorder="1" applyAlignment="1" applyProtection="1">
      <alignment horizontal="left" vertical="center"/>
    </xf>
    <xf numFmtId="14" fontId="4" fillId="0" borderId="1" xfId="0" applyNumberFormat="1" applyFont="1" applyBorder="1" applyAlignment="1">
      <alignment horizontal="center"/>
    </xf>
    <xf numFmtId="0" fontId="4" fillId="0" borderId="1" xfId="0" applyFont="1" applyBorder="1"/>
    <xf numFmtId="165" fontId="0" fillId="0" borderId="1" xfId="2" applyFont="1" applyBorder="1" applyAlignment="1"/>
    <xf numFmtId="164" fontId="0" fillId="0" borderId="1" xfId="1" applyFont="1" applyBorder="1" applyAlignment="1"/>
    <xf numFmtId="166" fontId="0" fillId="0" borderId="1" xfId="1" applyNumberFormat="1" applyFont="1" applyBorder="1" applyAlignment="1"/>
    <xf numFmtId="0" fontId="4" fillId="0" borderId="7" xfId="0" quotePrefix="1" applyFont="1" applyBorder="1" applyAlignment="1">
      <alignment horizontal="left" vertical="center"/>
    </xf>
    <xf numFmtId="10" fontId="4" fillId="0" borderId="1" xfId="0" quotePrefix="1" applyNumberFormat="1" applyFont="1" applyBorder="1" applyAlignment="1">
      <alignment horizontal="left" vertical="center"/>
    </xf>
    <xf numFmtId="0" fontId="13" fillId="0" borderId="0" xfId="4" quotePrefix="1" applyFill="1" applyBorder="1" applyAlignment="1" applyProtection="1"/>
    <xf numFmtId="0" fontId="21" fillId="0" borderId="4" xfId="4" quotePrefix="1" applyFont="1" applyFill="1" applyBorder="1" applyAlignment="1" applyProtection="1">
      <alignment horizontal="left" vertical="center"/>
    </xf>
    <xf numFmtId="0" fontId="22" fillId="0" borderId="1" xfId="0" quotePrefix="1" applyFont="1" applyBorder="1" applyAlignment="1">
      <alignment horizontal="left"/>
    </xf>
    <xf numFmtId="0" fontId="24" fillId="0" borderId="1" xfId="0" quotePrefix="1" applyFont="1" applyBorder="1" applyAlignment="1">
      <alignment horizontal="left"/>
    </xf>
    <xf numFmtId="0" fontId="4" fillId="0" borderId="1" xfId="0" quotePrefix="1" applyFont="1" applyBorder="1" applyAlignment="1">
      <alignment horizontal="center"/>
    </xf>
    <xf numFmtId="0" fontId="21" fillId="0" borderId="1" xfId="4" quotePrefix="1" applyNumberFormat="1" applyFont="1" applyFill="1" applyBorder="1" applyAlignment="1" applyProtection="1">
      <alignment horizontal="left" vertical="center"/>
    </xf>
    <xf numFmtId="168" fontId="0" fillId="0" borderId="0" xfId="0" quotePrefix="1" applyNumberFormat="1" applyAlignment="1">
      <alignment horizontal="left" vertical="center"/>
    </xf>
    <xf numFmtId="164" fontId="0" fillId="0" borderId="7" xfId="1" quotePrefix="1" applyFont="1" applyBorder="1" applyAlignment="1">
      <alignment horizontal="left" vertical="center"/>
    </xf>
    <xf numFmtId="0" fontId="4" fillId="0" borderId="0" xfId="0" quotePrefix="1" applyFont="1" applyAlignment="1">
      <alignment horizontal="left" vertical="center"/>
    </xf>
    <xf numFmtId="1" fontId="0" fillId="0" borderId="0" xfId="0" quotePrefix="1" applyNumberFormat="1" applyAlignment="1">
      <alignment horizontal="left" vertical="center"/>
    </xf>
    <xf numFmtId="14" fontId="0" fillId="0" borderId="0" xfId="0" applyNumberFormat="1" applyAlignment="1">
      <alignment horizontal="left" vertical="center"/>
    </xf>
    <xf numFmtId="0" fontId="13" fillId="0" borderId="1" xfId="4" applyFill="1" applyBorder="1" applyAlignment="1" applyProtection="1"/>
    <xf numFmtId="0" fontId="4" fillId="0" borderId="4" xfId="0" quotePrefix="1" applyFont="1" applyBorder="1" applyAlignment="1">
      <alignment horizontal="left" vertical="center"/>
    </xf>
    <xf numFmtId="14" fontId="0" fillId="0" borderId="1" xfId="3" applyNumberFormat="1" applyFont="1" applyFill="1" applyBorder="1" applyAlignment="1">
      <alignment horizontal="left" vertical="center"/>
    </xf>
    <xf numFmtId="0" fontId="4" fillId="0" borderId="7" xfId="0" applyFont="1" applyBorder="1" applyAlignment="1">
      <alignment horizontal="left" vertical="center"/>
    </xf>
    <xf numFmtId="0" fontId="13" fillId="0" borderId="0" xfId="4" applyFill="1" applyBorder="1" applyAlignment="1" applyProtection="1"/>
    <xf numFmtId="0" fontId="13" fillId="0" borderId="1" xfId="4" applyFill="1" applyBorder="1" applyAlignment="1" applyProtection="1">
      <alignment horizontal="left" vertical="center"/>
    </xf>
    <xf numFmtId="0" fontId="22" fillId="0" borderId="1" xfId="0" applyFont="1" applyBorder="1" applyAlignment="1">
      <alignment horizontal="left"/>
    </xf>
    <xf numFmtId="0" fontId="24" fillId="0" borderId="1" xfId="0" applyFont="1" applyBorder="1" applyAlignment="1">
      <alignment horizontal="left"/>
    </xf>
    <xf numFmtId="14" fontId="4" fillId="0" borderId="1" xfId="0" applyNumberFormat="1" applyFont="1" applyBorder="1" applyAlignment="1">
      <alignment horizontal="center" vertical="center"/>
    </xf>
    <xf numFmtId="0" fontId="4" fillId="0" borderId="1" xfId="0" applyFont="1" applyBorder="1" applyAlignment="1">
      <alignment horizontal="center"/>
    </xf>
    <xf numFmtId="0" fontId="21" fillId="0" borderId="1" xfId="4" applyNumberFormat="1" applyFont="1" applyFill="1" applyBorder="1" applyAlignment="1" applyProtection="1">
      <alignment horizontal="left" vertical="center"/>
    </xf>
    <xf numFmtId="14" fontId="13" fillId="0" borderId="1" xfId="4" applyNumberFormat="1" applyFill="1" applyBorder="1" applyAlignment="1" applyProtection="1">
      <alignment horizontal="left" vertical="center"/>
    </xf>
    <xf numFmtId="168" fontId="0" fillId="0" borderId="0" xfId="0" applyNumberFormat="1" applyAlignment="1">
      <alignment horizontal="left" vertical="center"/>
    </xf>
    <xf numFmtId="164" fontId="0" fillId="0" borderId="1" xfId="1" applyFont="1" applyBorder="1" applyAlignment="1">
      <alignment horizontal="left" vertical="center"/>
    </xf>
    <xf numFmtId="0" fontId="4" fillId="0" borderId="4" xfId="0" applyFont="1" applyBorder="1" applyAlignment="1">
      <alignment horizontal="left" vertical="center"/>
    </xf>
    <xf numFmtId="0" fontId="24" fillId="0" borderId="0" xfId="0" applyFont="1"/>
    <xf numFmtId="165" fontId="0" fillId="0" borderId="0" xfId="2" applyFont="1" applyAlignment="1">
      <alignment horizontal="left" vertical="center"/>
    </xf>
    <xf numFmtId="14" fontId="0" fillId="0" borderId="4" xfId="3" applyNumberFormat="1" applyFont="1" applyFill="1" applyBorder="1" applyAlignment="1">
      <alignment horizontal="left" vertical="center"/>
    </xf>
    <xf numFmtId="0" fontId="13" fillId="0" borderId="0" xfId="4" quotePrefix="1" applyFill="1" applyBorder="1" applyAlignment="1" applyProtection="1">
      <alignment horizontal="left" vertical="center"/>
    </xf>
    <xf numFmtId="0" fontId="13" fillId="0" borderId="4" xfId="4" quotePrefix="1" applyFill="1" applyBorder="1" applyAlignment="1" applyProtection="1">
      <alignment horizontal="left" vertical="center"/>
    </xf>
    <xf numFmtId="0" fontId="0" fillId="0" borderId="11" xfId="0" applyBorder="1" applyAlignment="1">
      <alignment horizontal="left" vertical="center"/>
    </xf>
    <xf numFmtId="14" fontId="21" fillId="0" borderId="1" xfId="4" quotePrefix="1" applyNumberFormat="1" applyFont="1" applyFill="1" applyBorder="1" applyAlignment="1" applyProtection="1">
      <alignment horizontal="center" vertical="center"/>
    </xf>
    <xf numFmtId="0" fontId="13" fillId="0" borderId="1" xfId="4" quotePrefix="1" applyFill="1" applyBorder="1" applyAlignment="1" applyProtection="1">
      <alignment horizontal="center" vertical="center"/>
    </xf>
    <xf numFmtId="0" fontId="6" fillId="44" borderId="1" xfId="0" applyFont="1" applyFill="1" applyBorder="1" applyAlignment="1">
      <alignment horizontal="center" vertical="center"/>
    </xf>
    <xf numFmtId="0" fontId="0" fillId="0" borderId="12" xfId="0" applyBorder="1" applyAlignment="1">
      <alignment horizontal="left" vertical="center"/>
    </xf>
    <xf numFmtId="0" fontId="6" fillId="45" borderId="1" xfId="0" applyFont="1" applyFill="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166" fontId="0" fillId="0" borderId="10" xfId="1" quotePrefix="1" applyNumberFormat="1" applyFont="1" applyFill="1" applyBorder="1" applyAlignment="1">
      <alignment horizontal="left" vertical="center"/>
    </xf>
    <xf numFmtId="167" fontId="20" fillId="0" borderId="0" xfId="0" applyNumberFormat="1" applyFont="1" applyAlignment="1">
      <alignment horizontal="left" vertical="center"/>
    </xf>
    <xf numFmtId="10" fontId="0" fillId="0" borderId="0" xfId="3" applyNumberFormat="1" applyFont="1" applyFill="1" applyBorder="1" applyAlignment="1">
      <alignment horizontal="left" vertical="center"/>
    </xf>
    <xf numFmtId="0" fontId="0" fillId="0" borderId="8" xfId="0" applyBorder="1" applyAlignment="1">
      <alignment horizontal="left" vertical="center"/>
    </xf>
    <xf numFmtId="10" fontId="4" fillId="0" borderId="0" xfId="0" applyNumberFormat="1" applyFont="1"/>
    <xf numFmtId="10" fontId="4" fillId="0" borderId="0" xfId="3" applyNumberFormat="1" applyFont="1" applyFill="1" applyBorder="1" applyAlignment="1">
      <alignment horizontal="left" vertical="center"/>
    </xf>
    <xf numFmtId="14" fontId="0" fillId="0" borderId="0" xfId="3" applyNumberFormat="1" applyFont="1" applyFill="1" applyBorder="1" applyAlignment="1">
      <alignment horizontal="left" vertical="center"/>
    </xf>
    <xf numFmtId="0" fontId="4" fillId="0" borderId="0" xfId="0" applyFont="1" applyAlignment="1">
      <alignment horizontal="left" vertical="center"/>
    </xf>
    <xf numFmtId="0" fontId="21" fillId="0" borderId="0" xfId="4" applyFont="1" applyFill="1" applyBorder="1" applyAlignment="1" applyProtection="1">
      <alignment horizontal="left" vertical="center"/>
    </xf>
    <xf numFmtId="0" fontId="21" fillId="0" borderId="0" xfId="4" quotePrefix="1" applyFont="1" applyFill="1" applyBorder="1" applyAlignment="1" applyProtection="1">
      <alignment horizontal="left" vertical="center"/>
    </xf>
    <xf numFmtId="14" fontId="21" fillId="0" borderId="0" xfId="4" quotePrefix="1" applyNumberFormat="1" applyFont="1" applyFill="1" applyBorder="1" applyAlignment="1" applyProtection="1">
      <alignment horizontal="center" vertical="center"/>
    </xf>
    <xf numFmtId="0" fontId="13" fillId="0" borderId="0" xfId="4" quotePrefix="1" applyFill="1" applyBorder="1" applyAlignment="1" applyProtection="1">
      <alignment horizontal="center" vertical="center"/>
    </xf>
    <xf numFmtId="0" fontId="27" fillId="11" borderId="0" xfId="0" quotePrefix="1" applyFont="1" applyFill="1" applyAlignment="1">
      <alignment horizontal="left" vertical="center"/>
    </xf>
    <xf numFmtId="0" fontId="6" fillId="45" borderId="0" xfId="0" applyFont="1" applyFill="1" applyAlignment="1">
      <alignment horizontal="left" vertical="center"/>
    </xf>
    <xf numFmtId="1" fontId="0" fillId="0" borderId="0" xfId="0" applyNumberFormat="1" applyAlignment="1">
      <alignment horizontal="left" vertical="center"/>
    </xf>
    <xf numFmtId="165" fontId="0" fillId="0" borderId="0" xfId="2" applyFont="1" applyFill="1" applyBorder="1" applyAlignment="1">
      <alignment horizontal="left" vertical="center"/>
    </xf>
    <xf numFmtId="164" fontId="0" fillId="0" borderId="0" xfId="1" quotePrefix="1" applyFont="1" applyFill="1" applyBorder="1" applyAlignment="1">
      <alignment horizontal="left" vertical="center"/>
    </xf>
    <xf numFmtId="166" fontId="0" fillId="0" borderId="0" xfId="1" quotePrefix="1" applyNumberFormat="1" applyFont="1" applyFill="1" applyBorder="1" applyAlignment="1">
      <alignment horizontal="left" vertical="center"/>
    </xf>
    <xf numFmtId="164" fontId="0" fillId="0" borderId="0" xfId="1" applyFont="1" applyFill="1" applyBorder="1" applyAlignment="1">
      <alignment horizontal="left" vertical="center"/>
    </xf>
    <xf numFmtId="166" fontId="0" fillId="0" borderId="0" xfId="1" applyNumberFormat="1" applyFont="1" applyFill="1" applyBorder="1" applyAlignment="1">
      <alignment horizontal="left" vertical="center"/>
    </xf>
  </cellXfs>
  <cellStyles count="7">
    <cellStyle name="Hipervínculo" xfId="4" builtinId="8"/>
    <cellStyle name="Millares" xfId="1" builtinId="3"/>
    <cellStyle name="Moneda" xfId="2" builtinId="4"/>
    <cellStyle name="Normal" xfId="0" builtinId="0"/>
    <cellStyle name="Normal 2" xfId="5"/>
    <cellStyle name="Normal 9" xfId="6"/>
    <cellStyle name="Porcentaje" xfId="3" builtinId="5"/>
  </cellStyles>
  <dxfs count="41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right/>
        <top/>
        <bottom/>
      </border>
    </dxf>
    <dxf>
      <font>
        <b val="0"/>
        <i val="0"/>
        <strike val="0"/>
        <condense val="0"/>
        <extend val="0"/>
        <outline val="0"/>
        <shadow val="0"/>
        <u val="none"/>
        <vertAlign val="baseline"/>
        <sz val="11"/>
        <color theme="1"/>
        <name val="Calibri"/>
        <scheme val="minor"/>
      </font>
      <numFmt numFmtId="164" formatCode="_ * #,##0.00_ ;_ * \-#,##0.0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_ * #,##0.00_ ;_ * \-#,##0.0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6" formatCode="_ * #,##0_ ;_ * \-#,##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6" formatCode="_ * #,##0_ ;_ * \-#,##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_ * #,##0.00_ ;_ * \-#,##0.0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_ * #,##0.00_ ;_ * \-#,##0.0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6" formatCode="_ * #,##0_ ;_ * \-#,##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64" formatCode="_ * #,##0.00_ ;_ * \-#,##0.00_ ;_ * &quot;-&quot;??_ ;_ @_ "/>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68" formatCode="0.0000%"/>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strike val="0"/>
        <outline val="0"/>
        <shadow val="0"/>
        <u val="none"/>
        <vertAlign val="baseline"/>
        <color auto="1"/>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9" formatCode="dd/mm/yyyy"/>
      <fill>
        <patternFill patternType="solid">
          <fgColor indexed="64"/>
          <bgColor theme="0"/>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strike val="0"/>
        <outline val="0"/>
        <shadow val="0"/>
        <u val="none"/>
        <vertAlign val="baseline"/>
        <color auto="1"/>
      </font>
      <numFmt numFmtId="0" formatCode="General"/>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strike val="0"/>
        <outline val="0"/>
        <shadow val="0"/>
        <u val="none"/>
        <vertAlign val="baseline"/>
        <color auto="1"/>
      </font>
      <numFmt numFmtId="16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u/>
        <color rgb="FF0000FF"/>
      </font>
      <fill>
        <patternFill patternType="none">
          <fgColor rgb="FFFFFF00"/>
          <bgColor auto="1"/>
        </patternFill>
      </fill>
      <alignment horizontal="left" vertical="bottom" textRotation="0" wrapText="0" indent="0" justifyLastLine="0" shrinkToFit="0" readingOrder="0"/>
    </dxf>
    <dxf>
      <font>
        <b val="0"/>
        <i val="0"/>
        <strike val="0"/>
        <condense val="0"/>
        <extend val="0"/>
        <outline val="0"/>
        <shadow val="0"/>
        <u/>
        <vertAlign val="baseline"/>
        <sz val="11"/>
        <color rgb="FF0000FF"/>
        <name val="Calibri"/>
        <scheme val="none"/>
      </font>
      <fill>
        <patternFill patternType="none">
          <fgColor rgb="FFFFFF00"/>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strike val="0"/>
        <outline val="0"/>
        <shadow val="0"/>
        <u val="none"/>
        <vertAlign val="baseline"/>
        <color auto="1"/>
        <name val="Calibri"/>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ertAlign val="baseline"/>
        <sz val="11"/>
        <color theme="10"/>
        <name val="Calibri"/>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alignment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1" indent="0" justifyLastLine="0" shrinkToFit="0" readingOrder="0"/>
      <border diagonalUp="0" diagonalDown="0" outline="0">
        <left/>
        <right/>
        <top/>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9" formatCode="dd/mm/yyyy"/>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left"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none">
          <fgColor indexed="64"/>
          <bgColor indexed="65"/>
        </patternFill>
      </fill>
      <alignment horizontal="center" vertical="center" textRotation="0" wrapText="0" indent="0" justifyLastLine="0" shrinkToFit="0" readingOrder="0"/>
    </dxf>
    <dxf>
      <numFmt numFmtId="14" formatCode="0.00%"/>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4" formatCode="0.00%"/>
      <fill>
        <patternFill patternType="none">
          <fgColor indexed="64"/>
          <bgColor auto="1"/>
        </patternFill>
      </fill>
      <alignment horizontal="center" textRotation="0" wrapText="0" indent="0" justifyLastLine="0" shrinkToFit="0" readingOrder="0"/>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strike val="0"/>
        <outline val="0"/>
        <shadow val="0"/>
        <u val="none"/>
        <vertAlign val="baseline"/>
        <color auto="1"/>
        <name val="Calibri"/>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color auto="1"/>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9" formatCode="dd/mm/yyyy"/>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9" formatCode="m/d/yyyy"/>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strike val="0"/>
        <outline val="0"/>
        <shadow val="0"/>
        <u val="none"/>
        <vertAlign val="baseline"/>
        <sz val="8"/>
        <color theme="1"/>
        <name val="Calibri"/>
        <scheme val="minor"/>
      </font>
      <numFmt numFmtId="167" formatCode="dd/mm/yyyy;@"/>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border>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microsoft.com/office/2007/relationships/slicerCache" Target="slicerCaches/slicerCache5.xml"/><Relationship Id="rId4" Type="http://schemas.openxmlformats.org/officeDocument/2006/relationships/externalLink" Target="externalLinks/externalLink3.xml"/><Relationship Id="rId9" Type="http://schemas.microsoft.com/office/2007/relationships/slicerCache" Target="slicerCaches/slicerCache4.xml"/><Relationship Id="rId14"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77066</xdr:colOff>
      <xdr:row>0</xdr:row>
      <xdr:rowOff>110836</xdr:rowOff>
    </xdr:from>
    <xdr:to>
      <xdr:col>3</xdr:col>
      <xdr:colOff>718706</xdr:colOff>
      <xdr:row>6</xdr:row>
      <xdr:rowOff>116031</xdr:rowOff>
    </xdr:to>
    <mc:AlternateContent xmlns:mc="http://schemas.openxmlformats.org/markup-compatibility/2006" xmlns:sle15="http://schemas.microsoft.com/office/drawing/2012/slicer">
      <mc:Choice Requires="sle15">
        <xdr:graphicFrame macro="">
          <xdr:nvGraphicFramePr>
            <xdr:cNvPr id="2" name="Contribuyente">
              <a:extLst>
                <a:ext uri="{FF2B5EF4-FFF2-40B4-BE49-F238E27FC236}">
                  <a16:creationId xmlns:a16="http://schemas.microsoft.com/office/drawing/2014/main" id="{D7DE4797-569E-4C2B-B96E-5399EBE749E4}"/>
                </a:ext>
              </a:extLst>
            </xdr:cNvPr>
            <xdr:cNvGraphicFramePr/>
          </xdr:nvGraphicFramePr>
          <xdr:xfrm>
            <a:off x="0" y="0"/>
            <a:ext cx="0" cy="0"/>
          </xdr:xfrm>
          <a:graphic>
            <a:graphicData uri="http://schemas.microsoft.com/office/drawing/2010/slicer">
              <sle:slicer xmlns:sle="http://schemas.microsoft.com/office/drawing/2010/slicer" name="Contribuyente"/>
            </a:graphicData>
          </a:graphic>
        </xdr:graphicFrame>
      </mc:Choice>
      <mc:Fallback xmlns="">
        <xdr:sp macro="" textlink="">
          <xdr:nvSpPr>
            <xdr:cNvPr id="0" name=""/>
            <xdr:cNvSpPr>
              <a:spLocks noTextEdit="1"/>
            </xdr:cNvSpPr>
          </xdr:nvSpPr>
          <xdr:spPr>
            <a:xfrm>
              <a:off x="77066" y="110836"/>
              <a:ext cx="2546640" cy="1217468"/>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20</xdr:col>
      <xdr:colOff>521853</xdr:colOff>
      <xdr:row>0</xdr:row>
      <xdr:rowOff>161059</xdr:rowOff>
    </xdr:from>
    <xdr:to>
      <xdr:col>22</xdr:col>
      <xdr:colOff>626917</xdr:colOff>
      <xdr:row>6</xdr:row>
      <xdr:rowOff>147204</xdr:rowOff>
    </xdr:to>
    <mc:AlternateContent xmlns:mc="http://schemas.openxmlformats.org/markup-compatibility/2006" xmlns:sle15="http://schemas.microsoft.com/office/drawing/2012/slicer">
      <mc:Choice Requires="sle15">
        <xdr:graphicFrame macro="">
          <xdr:nvGraphicFramePr>
            <xdr:cNvPr id="3" name="Term">
              <a:extLst>
                <a:ext uri="{FF2B5EF4-FFF2-40B4-BE49-F238E27FC236}">
                  <a16:creationId xmlns:a16="http://schemas.microsoft.com/office/drawing/2014/main" id="{EA09A050-5F92-498D-B90B-8EAC0E27E6AC}"/>
                </a:ext>
              </a:extLst>
            </xdr:cNvPr>
            <xdr:cNvGraphicFramePr/>
          </xdr:nvGraphicFramePr>
          <xdr:xfrm>
            <a:off x="0" y="0"/>
            <a:ext cx="0" cy="0"/>
          </xdr:xfrm>
          <a:graphic>
            <a:graphicData uri="http://schemas.microsoft.com/office/drawing/2010/slicer">
              <sle:slicer xmlns:sle="http://schemas.microsoft.com/office/drawing/2010/slicer" name="Term"/>
            </a:graphicData>
          </a:graphic>
        </xdr:graphicFrame>
      </mc:Choice>
      <mc:Fallback xmlns="">
        <xdr:sp macro="" textlink="">
          <xdr:nvSpPr>
            <xdr:cNvPr id="0" name=""/>
            <xdr:cNvSpPr>
              <a:spLocks noTextEdit="1"/>
            </xdr:cNvSpPr>
          </xdr:nvSpPr>
          <xdr:spPr>
            <a:xfrm>
              <a:off x="16619103" y="161059"/>
              <a:ext cx="1100859" cy="1198418"/>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3</xdr:col>
      <xdr:colOff>802699</xdr:colOff>
      <xdr:row>0</xdr:row>
      <xdr:rowOff>119495</xdr:rowOff>
    </xdr:from>
    <xdr:to>
      <xdr:col>4</xdr:col>
      <xdr:colOff>173182</xdr:colOff>
      <xdr:row>6</xdr:row>
      <xdr:rowOff>147204</xdr:rowOff>
    </xdr:to>
    <mc:AlternateContent xmlns:mc="http://schemas.openxmlformats.org/markup-compatibility/2006" xmlns:sle15="http://schemas.microsoft.com/office/drawing/2012/slicer">
      <mc:Choice Requires="sle15">
        <xdr:graphicFrame macro="">
          <xdr:nvGraphicFramePr>
            <xdr:cNvPr id="4" name="IIBB">
              <a:extLst>
                <a:ext uri="{FF2B5EF4-FFF2-40B4-BE49-F238E27FC236}">
                  <a16:creationId xmlns:a16="http://schemas.microsoft.com/office/drawing/2014/main" id="{4A6940A4-BD11-49B0-A1DB-8CEA5F87FB77}"/>
                </a:ext>
              </a:extLst>
            </xdr:cNvPr>
            <xdr:cNvGraphicFramePr/>
          </xdr:nvGraphicFramePr>
          <xdr:xfrm>
            <a:off x="0" y="0"/>
            <a:ext cx="0" cy="0"/>
          </xdr:xfrm>
          <a:graphic>
            <a:graphicData uri="http://schemas.microsoft.com/office/drawing/2010/slicer">
              <sle:slicer xmlns:sle="http://schemas.microsoft.com/office/drawing/2010/slicer" name="IIBB"/>
            </a:graphicData>
          </a:graphic>
        </xdr:graphicFrame>
      </mc:Choice>
      <mc:Fallback xmlns="">
        <xdr:sp macro="" textlink="">
          <xdr:nvSpPr>
            <xdr:cNvPr id="0" name=""/>
            <xdr:cNvSpPr>
              <a:spLocks noTextEdit="1"/>
            </xdr:cNvSpPr>
          </xdr:nvSpPr>
          <xdr:spPr>
            <a:xfrm>
              <a:off x="2707699" y="119495"/>
              <a:ext cx="1344756" cy="1239982"/>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287289</xdr:colOff>
      <xdr:row>0</xdr:row>
      <xdr:rowOff>50222</xdr:rowOff>
    </xdr:from>
    <xdr:to>
      <xdr:col>10</xdr:col>
      <xdr:colOff>995796</xdr:colOff>
      <xdr:row>5</xdr:row>
      <xdr:rowOff>69273</xdr:rowOff>
    </xdr:to>
    <mc:AlternateContent xmlns:mc="http://schemas.openxmlformats.org/markup-compatibility/2006" xmlns:sle15="http://schemas.microsoft.com/office/drawing/2012/slicer">
      <mc:Choice Requires="sle15">
        <xdr:graphicFrame macro="">
          <xdr:nvGraphicFramePr>
            <xdr:cNvPr id="5" name="Columna2">
              <a:extLst>
                <a:ext uri="{FF2B5EF4-FFF2-40B4-BE49-F238E27FC236}">
                  <a16:creationId xmlns:a16="http://schemas.microsoft.com/office/drawing/2014/main" id="{BEA99C5C-1331-41EF-906E-01FD92599F3C}"/>
                </a:ext>
              </a:extLst>
            </xdr:cNvPr>
            <xdr:cNvGraphicFramePr/>
          </xdr:nvGraphicFramePr>
          <xdr:xfrm>
            <a:off x="0" y="0"/>
            <a:ext cx="0" cy="0"/>
          </xdr:xfrm>
          <a:graphic>
            <a:graphicData uri="http://schemas.microsoft.com/office/drawing/2010/slicer">
              <sle:slicer xmlns:sle="http://schemas.microsoft.com/office/drawing/2010/slicer" name="Columna2"/>
            </a:graphicData>
          </a:graphic>
        </xdr:graphicFrame>
      </mc:Choice>
      <mc:Fallback xmlns="">
        <xdr:sp macro="" textlink="">
          <xdr:nvSpPr>
            <xdr:cNvPr id="0" name=""/>
            <xdr:cNvSpPr>
              <a:spLocks noTextEdit="1"/>
            </xdr:cNvSpPr>
          </xdr:nvSpPr>
          <xdr:spPr>
            <a:xfrm>
              <a:off x="5560675" y="50222"/>
              <a:ext cx="2907916" cy="1040824"/>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10</xdr:col>
      <xdr:colOff>1028701</xdr:colOff>
      <xdr:row>0</xdr:row>
      <xdr:rowOff>47625</xdr:rowOff>
    </xdr:from>
    <xdr:to>
      <xdr:col>14</xdr:col>
      <xdr:colOff>17319</xdr:colOff>
      <xdr:row>5</xdr:row>
      <xdr:rowOff>60613</xdr:rowOff>
    </xdr:to>
    <mc:AlternateContent xmlns:mc="http://schemas.openxmlformats.org/markup-compatibility/2006" xmlns:sle15="http://schemas.microsoft.com/office/drawing/2012/slicer">
      <mc:Choice Requires="sle15">
        <xdr:graphicFrame macro="">
          <xdr:nvGraphicFramePr>
            <xdr:cNvPr id="6" name="Tipo Fact">
              <a:extLst>
                <a:ext uri="{FF2B5EF4-FFF2-40B4-BE49-F238E27FC236}">
                  <a16:creationId xmlns:a16="http://schemas.microsoft.com/office/drawing/2014/main" id="{034F9FB9-9FE0-404E-A191-B2BBFE20F321}"/>
                </a:ext>
              </a:extLst>
            </xdr:cNvPr>
            <xdr:cNvGraphicFramePr/>
          </xdr:nvGraphicFramePr>
          <xdr:xfrm>
            <a:off x="0" y="0"/>
            <a:ext cx="0" cy="0"/>
          </xdr:xfrm>
          <a:graphic>
            <a:graphicData uri="http://schemas.microsoft.com/office/drawing/2010/slicer">
              <sle:slicer xmlns:sle="http://schemas.microsoft.com/office/drawing/2010/slicer" name="Tipo Fact"/>
            </a:graphicData>
          </a:graphic>
        </xdr:graphicFrame>
      </mc:Choice>
      <mc:Fallback xmlns="">
        <xdr:sp macro="" textlink="">
          <xdr:nvSpPr>
            <xdr:cNvPr id="0" name=""/>
            <xdr:cNvSpPr>
              <a:spLocks noTextEdit="1"/>
            </xdr:cNvSpPr>
          </xdr:nvSpPr>
          <xdr:spPr>
            <a:xfrm>
              <a:off x="8501496" y="47625"/>
              <a:ext cx="2426278" cy="1034761"/>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10</xdr:col>
          <xdr:colOff>381000</xdr:colOff>
          <xdr:row>5</xdr:row>
          <xdr:rowOff>104775</xdr:rowOff>
        </xdr:from>
        <xdr:to>
          <xdr:col>12</xdr:col>
          <xdr:colOff>619125</xdr:colOff>
          <xdr:row>6</xdr:row>
          <xdr:rowOff>180975</xdr:rowOff>
        </xdr:to>
        <xdr:sp macro="" textlink="">
          <xdr:nvSpPr>
            <xdr:cNvPr id="1025" name="TextBox1" hidden="1">
              <a:extLst>
                <a:ext uri="{63B3BB69-23CF-44E3-9099-C40C66FF867C}">
                  <a14:compatExt spid="_x0000_s1025"/>
                </a:ext>
                <a:ext uri="{FF2B5EF4-FFF2-40B4-BE49-F238E27FC236}">
                  <a16:creationId xmlns:a16="http://schemas.microsoft.com/office/drawing/2014/main" id="{3413D867-9B05-4514-82AD-7B4F1CD550D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732-ECM\EstudioMM\Lopez%20Cecilia%20-%20Zeppelin\931\Liquidaci&#243;n%20de%20Sueldos%20(Macro)%20-%20Lopez%20Cecilia%202017.xlsx.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Mi%20unidad\Mariano%20Estudio\Estudio%20Morteo%20Clientes%20202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tudioMM/A%20PLANILLAS%20GENERALES/CLIENTES%20MONOTRIBUTO%20UNIFICADO%20-%20CONVENIO%20-%20EXENTO%202025.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Julian/Desktop/Programacion/Proyectos/MarianoMortero/Clientes%202025%20jul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Base de Datos"/>
      <sheetName val="Hab Enero 2017 "/>
      <sheetName val="Hab Febrero 2017"/>
      <sheetName val="Hab Marzo 2017"/>
      <sheetName val="Hab Abril 2017"/>
      <sheetName val="Hab Mayo 2017"/>
      <sheetName val="Hab Junio 2017"/>
      <sheetName val="Hab Julio 2017"/>
      <sheetName val="Hab Agosto 2017"/>
      <sheetName val="Hab Septiembre 2017"/>
      <sheetName val="Hab Octubre 2017"/>
      <sheetName val="Hab Noviembre 2017"/>
      <sheetName val="Hab Diciembre 2017"/>
    </sheetNames>
    <sheetDataSet>
      <sheetData sheetId="0">
        <row r="12">
          <cell r="K12">
            <v>2</v>
          </cell>
        </row>
      </sheetData>
      <sheetData sheetId="1">
        <row r="1">
          <cell r="B1" t="str">
            <v>SI</v>
          </cell>
        </row>
        <row r="2">
          <cell r="B2" t="str">
            <v>NO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uracion 2016"/>
      <sheetName val="Clientes 2024"/>
      <sheetName val="Facturacion 2025"/>
      <sheetName val="Detalle"/>
      <sheetName val="TD2025"/>
      <sheetName val="analisis 2025-03"/>
      <sheetName val="Facturacion 2024"/>
      <sheetName val="Facturacion 2017"/>
      <sheetName val="Ganancia &amp; BP 2017"/>
      <sheetName val="Planilla Personal"/>
      <sheetName val="Viaje a Europa"/>
      <sheetName val="Gastos Mensuales"/>
      <sheetName val="Clientes 2022"/>
      <sheetName val="Clientes 2023"/>
      <sheetName val="Facturacion 2021"/>
      <sheetName val="Facturacion 2022"/>
      <sheetName val="Facturacion 2023"/>
      <sheetName val="Chacras"/>
    </sheetNames>
    <sheetDataSet>
      <sheetData sheetId="0" refreshError="1"/>
      <sheetData sheetId="1" refreshError="1"/>
      <sheetData sheetId="2">
        <row r="8">
          <cell r="B8" t="str">
            <v>CLIENTE</v>
          </cell>
        </row>
        <row r="9">
          <cell r="B9" t="str">
            <v>Valencia Gomez Mariluz</v>
          </cell>
        </row>
        <row r="10">
          <cell r="B10" t="str">
            <v>Azocar Sepulveda Marcelo Edmundo</v>
          </cell>
        </row>
        <row r="11">
          <cell r="B11" t="str">
            <v xml:space="preserve">Berges Pablo Ignacio </v>
          </cell>
        </row>
        <row r="12">
          <cell r="B12" t="str">
            <v>BILLOCH FACUNDO</v>
          </cell>
        </row>
        <row r="13">
          <cell r="B13" t="str">
            <v>Billoch Joaquin</v>
          </cell>
        </row>
        <row r="14">
          <cell r="B14" t="str">
            <v>BORSOI GONZALO</v>
          </cell>
        </row>
        <row r="15">
          <cell r="B15" t="str">
            <v>CALDERON GASTON</v>
          </cell>
        </row>
        <row r="16">
          <cell r="B16" t="str">
            <v>GERSTNER RODRIGO NICOLAS</v>
          </cell>
        </row>
        <row r="17">
          <cell r="B17" t="str">
            <v>GUARAZ MIRIAM LORENA</v>
          </cell>
        </row>
        <row r="18">
          <cell r="B18" t="str">
            <v>Gustavo erica dias</v>
          </cell>
        </row>
        <row r="19">
          <cell r="B19" t="str">
            <v>JIMENEZ SILVINA ROSA</v>
          </cell>
        </row>
        <row r="20">
          <cell r="B20" t="str">
            <v>NARVAEZ PRINCIPE CLELIA EMPERATRIZ</v>
          </cell>
        </row>
        <row r="21">
          <cell r="B21" t="str">
            <v>Peña Catalina</v>
          </cell>
        </row>
        <row r="22">
          <cell r="B22" t="str">
            <v>Simonetta Sebastian Domingo</v>
          </cell>
        </row>
        <row r="23">
          <cell r="B23" t="str">
            <v>Baruzzo Omar Enrique</v>
          </cell>
        </row>
        <row r="24">
          <cell r="B24" t="str">
            <v xml:space="preserve">Bergara Gabriel Brigido </v>
          </cell>
        </row>
        <row r="25">
          <cell r="B25" t="str">
            <v>PIACENTINI MARCOS</v>
          </cell>
        </row>
        <row r="26">
          <cell r="B26" t="str">
            <v xml:space="preserve">PIACENTINI - PIACENTINI MARCOS </v>
          </cell>
        </row>
        <row r="27">
          <cell r="B27" t="str">
            <v>Bosch Wenceslao</v>
          </cell>
        </row>
        <row r="28">
          <cell r="B28" t="str">
            <v>CHIAVARO PABLO RAMIRO</v>
          </cell>
        </row>
        <row r="29">
          <cell r="B29" t="str">
            <v>Ferreria Josefina</v>
          </cell>
        </row>
        <row r="30">
          <cell r="B30" t="str">
            <v>Fonterosa Florencia</v>
          </cell>
        </row>
        <row r="31">
          <cell r="B31" t="str">
            <v>Nuttini Ricardo Mario</v>
          </cell>
        </row>
        <row r="32">
          <cell r="B32" t="str">
            <v>Pereira Leandro Santiago</v>
          </cell>
        </row>
        <row r="33">
          <cell r="B33" t="str">
            <v>Rodriguez Erica Mariana</v>
          </cell>
        </row>
        <row r="34">
          <cell r="B34" t="str">
            <v>Valdez Monica Gisele</v>
          </cell>
        </row>
        <row r="35">
          <cell r="B35" t="str">
            <v>BOLOTTI FIDEL ANGEL</v>
          </cell>
        </row>
        <row r="36">
          <cell r="B36" t="str">
            <v xml:space="preserve">Bolotti Octavio Ivan </v>
          </cell>
        </row>
        <row r="37">
          <cell r="B37" t="str">
            <v>Godoy Bolotti Natacha Micaela</v>
          </cell>
        </row>
        <row r="38">
          <cell r="B38" t="str">
            <v>Hentrich Sebastian Alberto</v>
          </cell>
        </row>
        <row r="39">
          <cell r="B39" t="str">
            <v>Lugones Dafne Jacqueline</v>
          </cell>
        </row>
        <row r="40">
          <cell r="B40" t="str">
            <v>Marquez Jesica Paola</v>
          </cell>
        </row>
        <row r="41">
          <cell r="B41" t="str">
            <v>Peralta Maximiliano Gaston</v>
          </cell>
        </row>
        <row r="42">
          <cell r="B42" t="str">
            <v>Puente de la Cruz Ketty Yuliana</v>
          </cell>
        </row>
        <row r="43">
          <cell r="B43" t="str">
            <v>AUTUORI MARTIN</v>
          </cell>
        </row>
        <row r="44">
          <cell r="B44" t="str">
            <v>Diaz Julio Cesar</v>
          </cell>
        </row>
        <row r="45">
          <cell r="B45" t="str">
            <v xml:space="preserve">Fanti Pedro Ignacio </v>
          </cell>
        </row>
        <row r="46">
          <cell r="B46" t="str">
            <v>GOMEZ BRADLEY FRANCISCO TOMAS</v>
          </cell>
        </row>
        <row r="47">
          <cell r="B47" t="str">
            <v xml:space="preserve">Grondona Hector Oscar </v>
          </cell>
        </row>
        <row r="48">
          <cell r="B48" t="str">
            <v>Marin David Ezequiel</v>
          </cell>
        </row>
        <row r="49">
          <cell r="B49" t="str">
            <v>MARTINEZ ANDREA NATALIA</v>
          </cell>
        </row>
        <row r="50">
          <cell r="B50" t="str">
            <v xml:space="preserve">Sanchez Jimena </v>
          </cell>
        </row>
        <row r="51">
          <cell r="B51" t="str">
            <v>Zanon Sergio Dario</v>
          </cell>
        </row>
        <row r="52">
          <cell r="B52" t="str">
            <v>Cravero Maria cecilia</v>
          </cell>
        </row>
        <row r="53">
          <cell r="B53" t="str">
            <v xml:space="preserve">Guarnieri Mariano </v>
          </cell>
        </row>
        <row r="54">
          <cell r="B54" t="str">
            <v>Montana Sergio Osvaldo</v>
          </cell>
        </row>
        <row r="55">
          <cell r="B55" t="str">
            <v>SALOMON EZEQUIEL ANDRES</v>
          </cell>
        </row>
        <row r="56">
          <cell r="B56" t="str">
            <v>ANALIX S.A.</v>
          </cell>
        </row>
        <row r="57">
          <cell r="B57" t="str">
            <v xml:space="preserve">Bustamante Sonia </v>
          </cell>
        </row>
        <row r="58">
          <cell r="B58" t="str">
            <v xml:space="preserve">Castro Juan Pablo </v>
          </cell>
        </row>
        <row r="59">
          <cell r="B59" t="str">
            <v>Davila Gutierrez Constantino</v>
          </cell>
        </row>
        <row r="60">
          <cell r="B60" t="str">
            <v>Dicuzzo Mariano Carlos</v>
          </cell>
        </row>
        <row r="61">
          <cell r="B61" t="str">
            <v>Landino Alejandra</v>
          </cell>
        </row>
        <row r="62">
          <cell r="B62" t="str">
            <v>Lopez Cecilia</v>
          </cell>
        </row>
        <row r="63">
          <cell r="B63" t="str">
            <v xml:space="preserve">Triunfo Analia Claudia </v>
          </cell>
        </row>
        <row r="64">
          <cell r="B64" t="str">
            <v>ESPOUEYS MARIA ISABEL</v>
          </cell>
        </row>
        <row r="65">
          <cell r="B65" t="str">
            <v>CANDIA FERREIRA REMIGIO DANIEL</v>
          </cell>
        </row>
        <row r="66">
          <cell r="B66" t="str">
            <v>Coletta Guillermo Nestor</v>
          </cell>
        </row>
        <row r="67">
          <cell r="B67" t="str">
            <v>LOPEZ LUIS MARCELO (COLETTA)</v>
          </cell>
        </row>
        <row r="68">
          <cell r="B68" t="str">
            <v>Lopez Marcela Alejandra</v>
          </cell>
        </row>
        <row r="69">
          <cell r="B69" t="str">
            <v xml:space="preserve">Mazzioti Anibal </v>
          </cell>
        </row>
        <row r="70">
          <cell r="B70" t="str">
            <v xml:space="preserve">Recalt Gonzalo </v>
          </cell>
        </row>
        <row r="71">
          <cell r="B71" t="str">
            <v>Vera Nilda Ignacia</v>
          </cell>
        </row>
        <row r="72">
          <cell r="B72" t="str">
            <v xml:space="preserve">GIMENEZ HEREDIA - GIMENEZ ANA CATALINA </v>
          </cell>
        </row>
        <row r="73">
          <cell r="B73" t="str">
            <v>GONZALEZ MARIA AGUSTINA</v>
          </cell>
        </row>
        <row r="74">
          <cell r="B74" t="str">
            <v>Jackson Steak House SRL</v>
          </cell>
        </row>
        <row r="75">
          <cell r="B75" t="str">
            <v>PEREZ STELLA</v>
          </cell>
        </row>
        <row r="76">
          <cell r="B76" t="str">
            <v>Brites Eduardo Cesar</v>
          </cell>
        </row>
        <row r="77">
          <cell r="B77" t="str">
            <v>Gutierrez Mateo Javier</v>
          </cell>
        </row>
        <row r="78">
          <cell r="B78" t="str">
            <v>FREIRIA TOBIAS NICOLAS</v>
          </cell>
        </row>
        <row r="79">
          <cell r="B79" t="str">
            <v xml:space="preserve">De Zuviria Rosario </v>
          </cell>
        </row>
        <row r="80">
          <cell r="B80" t="str">
            <v>Gomez Ricardo Ariel</v>
          </cell>
        </row>
        <row r="81">
          <cell r="B81" t="str">
            <v xml:space="preserve">Lanusse Pilar </v>
          </cell>
        </row>
        <row r="82">
          <cell r="B82" t="str">
            <v xml:space="preserve">Luque Pablo Ruiz </v>
          </cell>
        </row>
        <row r="83">
          <cell r="B83" t="str">
            <v>Petrosic Gabriela (chancho gusto)</v>
          </cell>
        </row>
        <row r="84">
          <cell r="B84" t="str">
            <v>RAMIREZ NICOLAS AGUSTIN</v>
          </cell>
        </row>
        <row r="85">
          <cell r="B85" t="str">
            <v xml:space="preserve">SIMHARDT ALEX </v>
          </cell>
        </row>
        <row r="86">
          <cell r="B86" t="str">
            <v>YRIGOYEN BUENOS AIRES S.A.S</v>
          </cell>
        </row>
        <row r="87">
          <cell r="B87" t="str">
            <v>Battilana Delfina</v>
          </cell>
        </row>
        <row r="88">
          <cell r="B88" t="str">
            <v>Bereciartua Sebastian</v>
          </cell>
        </row>
        <row r="89">
          <cell r="B89" t="str">
            <v>Maiterth Gerardo Martin</v>
          </cell>
        </row>
        <row r="90">
          <cell r="B90" t="str">
            <v xml:space="preserve">Pando Maria Dolores </v>
          </cell>
        </row>
        <row r="91">
          <cell r="B91" t="str">
            <v>Araoz Lidia Eudosia</v>
          </cell>
        </row>
        <row r="92">
          <cell r="B92" t="str">
            <v>Astuhuaman de Ubaldo Melania Paulina</v>
          </cell>
        </row>
        <row r="93">
          <cell r="B93" t="str">
            <v>CASTORINA  ARACELI AYELEN</v>
          </cell>
        </row>
        <row r="94">
          <cell r="B94" t="str">
            <v>Diaz Erica Andrea</v>
          </cell>
        </row>
        <row r="95">
          <cell r="B95" t="str">
            <v>FEKETE BUSTILLO CARLOS JOSE</v>
          </cell>
        </row>
        <row r="96">
          <cell r="B96" t="str">
            <v>Gomez Matias Daniel Alberto</v>
          </cell>
        </row>
        <row r="97">
          <cell r="B97" t="str">
            <v>GUTIERREZ DIEGO</v>
          </cell>
        </row>
        <row r="98">
          <cell r="B98" t="str">
            <v>Herrera Rosana Noemi</v>
          </cell>
        </row>
        <row r="99">
          <cell r="B99" t="str">
            <v>Joppich Federico</v>
          </cell>
        </row>
        <row r="100">
          <cell r="B100" t="str">
            <v>Macario Cintia Soledad</v>
          </cell>
        </row>
        <row r="101">
          <cell r="B101" t="str">
            <v>MARTINEZ JORGE JUAN</v>
          </cell>
        </row>
        <row r="102">
          <cell r="B102" t="str">
            <v>Molina Matias Julian</v>
          </cell>
        </row>
        <row r="103">
          <cell r="B103" t="str">
            <v>NOELI RUTH INGRASSIA</v>
          </cell>
        </row>
        <row r="104">
          <cell r="B104" t="str">
            <v>Puente de la  Cruz Saul Elvis</v>
          </cell>
        </row>
        <row r="105">
          <cell r="B105" t="str">
            <v>Rodriguez Cristian</v>
          </cell>
        </row>
        <row r="106">
          <cell r="B106" t="str">
            <v>Zuccarelli Ricardo Rodolfo</v>
          </cell>
        </row>
        <row r="107">
          <cell r="B107" t="str">
            <v>ZUCCARELLI VERDE NAZARENA</v>
          </cell>
        </row>
        <row r="108">
          <cell r="B108" t="str">
            <v>Ronsoni Leonardo</v>
          </cell>
        </row>
        <row r="109">
          <cell r="B109" t="str">
            <v>Aguilar Marcelo Adrian</v>
          </cell>
        </row>
        <row r="110">
          <cell r="B110" t="str">
            <v>Allerand Maria Teresa</v>
          </cell>
        </row>
        <row r="111">
          <cell r="B111" t="str">
            <v>ARCANGELI HERNAN OMAR</v>
          </cell>
        </row>
        <row r="112">
          <cell r="B112" t="str">
            <v xml:space="preserve">Arrieta Amorina </v>
          </cell>
        </row>
        <row r="113">
          <cell r="B113" t="str">
            <v>BARRIOS OSVALDO OMAR</v>
          </cell>
        </row>
        <row r="114">
          <cell r="B114" t="str">
            <v>Boglione Monica Enriqueta</v>
          </cell>
        </row>
        <row r="115">
          <cell r="B115" t="str">
            <v>BORSOI DIEGO</v>
          </cell>
        </row>
        <row r="116">
          <cell r="B116" t="str">
            <v>Borzone Augusto jorge</v>
          </cell>
        </row>
        <row r="117">
          <cell r="B117" t="str">
            <v>CALLENS GISELE</v>
          </cell>
        </row>
        <row r="118">
          <cell r="B118" t="str">
            <v>CANDIA DANIEL ALEJANDRO</v>
          </cell>
        </row>
        <row r="119">
          <cell r="B119" t="str">
            <v>CANTALUPI PATRICIA</v>
          </cell>
        </row>
        <row r="120">
          <cell r="B120" t="str">
            <v>CARABAJAL FERNANDO</v>
          </cell>
        </row>
        <row r="121">
          <cell r="B121" t="str">
            <v>CHACRAS TERRAFE S.A.S</v>
          </cell>
        </row>
        <row r="122">
          <cell r="B122" t="str">
            <v>DANIELA ANAHI ARCANGELI</v>
          </cell>
        </row>
        <row r="123">
          <cell r="B123" t="str">
            <v xml:space="preserve">De Rosa Bruno Gustavo </v>
          </cell>
        </row>
        <row r="124">
          <cell r="B124" t="str">
            <v>De Rosa Gustavo</v>
          </cell>
        </row>
        <row r="125">
          <cell r="B125" t="str">
            <v xml:space="preserve">DOMINISSINI SANTIAGO IGNACIO </v>
          </cell>
        </row>
        <row r="126">
          <cell r="B126" t="str">
            <v>DUARTE YAMILA LUCIANA</v>
          </cell>
        </row>
        <row r="127">
          <cell r="B127" t="str">
            <v xml:space="preserve">Fordwood Andres </v>
          </cell>
        </row>
        <row r="128">
          <cell r="B128" t="str">
            <v>GERONIMO PACHECO BERTHA</v>
          </cell>
        </row>
        <row r="129">
          <cell r="B129" t="str">
            <v>Kandrachoff Jeremias Benjamin</v>
          </cell>
        </row>
        <row r="130">
          <cell r="B130" t="str">
            <v>Kiperman Fabiana Andrea</v>
          </cell>
        </row>
        <row r="131">
          <cell r="B131" t="str">
            <v>MAGLIONE IVAN MARTIN</v>
          </cell>
        </row>
        <row r="132">
          <cell r="B132" t="str">
            <v>MALLOCA ADRIANA PATRICIA</v>
          </cell>
        </row>
        <row r="133">
          <cell r="B133" t="str">
            <v>Marin Carmen</v>
          </cell>
        </row>
        <row r="134">
          <cell r="B134" t="str">
            <v>MELIDORE FEDERICO NICOLAS</v>
          </cell>
        </row>
        <row r="135">
          <cell r="B135" t="str">
            <v>MENDELEVICH RICARDO</v>
          </cell>
        </row>
        <row r="136">
          <cell r="B136" t="str">
            <v>Miras Sebastian Guillermo</v>
          </cell>
        </row>
        <row r="137">
          <cell r="B137" t="str">
            <v xml:space="preserve">Monteverdi Pia </v>
          </cell>
        </row>
        <row r="138">
          <cell r="B138" t="str">
            <v>Navarro Sarasi Marizol Erlinda</v>
          </cell>
        </row>
        <row r="139">
          <cell r="B139" t="str">
            <v xml:space="preserve">Niglia Silvana </v>
          </cell>
        </row>
        <row r="140">
          <cell r="B140" t="str">
            <v>NUÑEZ JUAN SANTIAGO</v>
          </cell>
        </row>
        <row r="141">
          <cell r="B141" t="str">
            <v>OLIVIERI CANDELA BELEN</v>
          </cell>
        </row>
        <row r="142">
          <cell r="B142" t="str">
            <v>Paco Chachaque Maria Rosario</v>
          </cell>
        </row>
        <row r="143">
          <cell r="B143" t="str">
            <v>Sanchez Jorge Osvaldo (alicia)</v>
          </cell>
        </row>
        <row r="144">
          <cell r="B144" t="str">
            <v>SAUCEDO JORGE ALBERTO</v>
          </cell>
        </row>
        <row r="145">
          <cell r="B145" t="str">
            <v>SEM</v>
          </cell>
        </row>
        <row r="146">
          <cell r="B146" t="str">
            <v>SEM - VALIENTE CLAUDIO</v>
          </cell>
        </row>
        <row r="147">
          <cell r="B147" t="str">
            <v>SEM - VIPPUTO ANIBAL MARTIN</v>
          </cell>
        </row>
        <row r="148">
          <cell r="B148" t="str">
            <v>Teverovsky Gaspar</v>
          </cell>
        </row>
        <row r="149">
          <cell r="B149" t="str">
            <v>VERA MIGUEL</v>
          </cell>
        </row>
        <row r="150">
          <cell r="B150" t="str">
            <v>Vera Valentin</v>
          </cell>
        </row>
        <row r="151">
          <cell r="B151" t="str">
            <v>VIVIANI CLARISA</v>
          </cell>
        </row>
        <row r="152">
          <cell r="B152" t="str">
            <v>ZAFFIGNANI FABIO</v>
          </cell>
        </row>
        <row r="153">
          <cell r="B153" t="str">
            <v>RUIZ FABIAN</v>
          </cell>
        </row>
        <row r="154">
          <cell r="B154" t="str">
            <v>OLEA CARLOS DANIEL</v>
          </cell>
        </row>
        <row r="155">
          <cell r="B155" t="str">
            <v>SAMBATARO LUIS PABLO</v>
          </cell>
        </row>
        <row r="156">
          <cell r="B156" t="str">
            <v>MOUJAN ALBERTO CESAR</v>
          </cell>
        </row>
        <row r="157">
          <cell r="B157" t="str">
            <v>PEREYRA ANABELLA ROXANA</v>
          </cell>
        </row>
        <row r="158">
          <cell r="B158" t="str">
            <v>Altamirano Margarita Ester</v>
          </cell>
        </row>
        <row r="159">
          <cell r="B159" t="str">
            <v>Alvarez Silvia Graciela</v>
          </cell>
        </row>
        <row r="160">
          <cell r="B160" t="str">
            <v>ARAOZ SANDOVAL MARIELA ROSA</v>
          </cell>
        </row>
        <row r="161">
          <cell r="B161" t="str">
            <v>BALLESTEROS MARIANO</v>
          </cell>
        </row>
        <row r="162">
          <cell r="B162" t="str">
            <v>Carlos Solange Yanina</v>
          </cell>
        </row>
        <row r="163">
          <cell r="B163" t="str">
            <v>CHAPARRO WILLIAM MIGUEL</v>
          </cell>
        </row>
        <row r="164">
          <cell r="B164" t="str">
            <v>FACUNDO EMANUEL ANSRUSYZYN</v>
          </cell>
        </row>
        <row r="165">
          <cell r="B165" t="str">
            <v xml:space="preserve">Fernandez Gustavo </v>
          </cell>
        </row>
        <row r="166">
          <cell r="B166" t="str">
            <v>GAZQUEZ MARTINEZ ANTONELLA ABIGAIL (Juan)</v>
          </cell>
        </row>
        <row r="167">
          <cell r="B167" t="str">
            <v>GIMENEZ HEREDIA OMAR ESTEBAN</v>
          </cell>
        </row>
        <row r="168">
          <cell r="B168" t="str">
            <v>Macris Paula</v>
          </cell>
        </row>
        <row r="169">
          <cell r="B169" t="str">
            <v>MAGLIONE ALFREDO MARTIN</v>
          </cell>
        </row>
        <row r="170">
          <cell r="B170" t="str">
            <v>MARIA CECILIA MARTINEZ (Juan)</v>
          </cell>
        </row>
        <row r="171">
          <cell r="B171" t="str">
            <v>MARIN GUADALUPE</v>
          </cell>
        </row>
        <row r="172">
          <cell r="B172" t="str">
            <v>MARTINEZ CECILIA GISELA (Juan)</v>
          </cell>
        </row>
        <row r="173">
          <cell r="B173" t="str">
            <v>MARTINEZ LUCAS DAMIAN</v>
          </cell>
        </row>
        <row r="174">
          <cell r="B174" t="str">
            <v>MARULLO VANESA</v>
          </cell>
        </row>
        <row r="175">
          <cell r="B175" t="str">
            <v xml:space="preserve">Monteverdi Mariano </v>
          </cell>
        </row>
        <row r="176">
          <cell r="B176" t="str">
            <v>MORTEO JOSE MARIA</v>
          </cell>
        </row>
        <row r="177">
          <cell r="B177" t="str">
            <v xml:space="preserve">Morteo Luis </v>
          </cell>
        </row>
        <row r="178">
          <cell r="B178" t="str">
            <v xml:space="preserve">Morteo Mariano </v>
          </cell>
        </row>
        <row r="179">
          <cell r="B179" t="str">
            <v>Negron Maximo Esteban Carlos</v>
          </cell>
        </row>
        <row r="180">
          <cell r="B180" t="str">
            <v>OLIVIERI CANDELA BELEN</v>
          </cell>
        </row>
        <row r="181">
          <cell r="B181" t="str">
            <v>Pagano Marina</v>
          </cell>
        </row>
        <row r="182">
          <cell r="B182" t="str">
            <v>Recalt Jazmin</v>
          </cell>
        </row>
        <row r="183">
          <cell r="B183" t="str">
            <v>Ricciardi Luis Eduardo</v>
          </cell>
        </row>
        <row r="184">
          <cell r="B184" t="str">
            <v>Santana Eduardo Gonzalo Julio</v>
          </cell>
        </row>
        <row r="185">
          <cell r="B185" t="str">
            <v>Soares Conceiao Maria</v>
          </cell>
        </row>
        <row r="186">
          <cell r="B186" t="str">
            <v>Sozzi Gisela BarBara</v>
          </cell>
        </row>
        <row r="187">
          <cell r="B187" t="str">
            <v>Taca Lui Basilia</v>
          </cell>
        </row>
        <row r="188">
          <cell r="B188" t="str">
            <v>Terra Viviana Karina</v>
          </cell>
        </row>
        <row r="189">
          <cell r="B189" t="str">
            <v>VELIZ MARIANA BEATRIZ  (Juan)</v>
          </cell>
        </row>
        <row r="190">
          <cell r="B190" t="str">
            <v>VILLAREAL MARIA SOLEDAD</v>
          </cell>
        </row>
        <row r="191">
          <cell r="B191" t="str">
            <v>YUCRA CHULLQUI PABLO</v>
          </cell>
        </row>
        <row r="192">
          <cell r="B192" t="str">
            <v xml:space="preserve">Zilli Rodrigo </v>
          </cell>
        </row>
        <row r="193">
          <cell r="B193" t="str">
            <v>MENDOZA JOSE IGNACIO</v>
          </cell>
        </row>
        <row r="194">
          <cell r="B194" t="str">
            <v xml:space="preserve">Balint Clara </v>
          </cell>
        </row>
        <row r="195">
          <cell r="B195" t="str">
            <v>Z adicionales</v>
          </cell>
        </row>
        <row r="196">
          <cell r="B196" t="str">
            <v>Z adicionales ( EX CLIENTES)</v>
          </cell>
        </row>
        <row r="197">
          <cell r="B197" t="str">
            <v>z Resupero deuda Diciembre 2024</v>
          </cell>
        </row>
        <row r="212">
          <cell r="B212" t="str">
            <v>Adrián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Facturacion Monotributo"/>
      <sheetName val="Base de Datos (Unificado)"/>
      <sheetName val="convertir ventas"/>
      <sheetName val="Control Facturacion CLIENTE"/>
      <sheetName val="diferencia"/>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ientes"/>
    </sheetNames>
    <sheetDataSet>
      <sheetData sheetId="0"/>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ciónDeDatos_Contribuyente" sourceName="Contribuyente">
  <extLst>
    <x:ext xmlns:x15="http://schemas.microsoft.com/office/spreadsheetml/2010/11/main" uri="{2F2917AC-EB37-4324-AD4E-5DD8C200BD13}">
      <x15:tableSlicerCache tableId="1" column="54"/>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ciónDeDatos_Term" sourceName="Term">
  <extLst>
    <x:ext xmlns:x15="http://schemas.microsoft.com/office/spreadsheetml/2010/11/main" uri="{2F2917AC-EB37-4324-AD4E-5DD8C200BD13}">
      <x15:tableSlicerCache tableId="1" column="3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ciónDeDatos_IIBB" sourceName="IIBB">
  <extLst>
    <x:ext xmlns:x15="http://schemas.microsoft.com/office/spreadsheetml/2010/11/main" uri="{2F2917AC-EB37-4324-AD4E-5DD8C200BD13}">
      <x15:tableSlicerCache tableId="1" column="11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ciónDeDatos_Columna2" sourceName="Cliente">
  <extLst>
    <x:ext xmlns:x15="http://schemas.microsoft.com/office/spreadsheetml/2010/11/main" uri="{2F2917AC-EB37-4324-AD4E-5DD8C200BD13}">
      <x15:tableSlicerCache tableId="1"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egmentaciónDeDatos_Tipo_Fact" sourceName="FACTURADOR">
  <extLst>
    <x:ext xmlns:x15="http://schemas.microsoft.com/office/spreadsheetml/2010/11/main" uri="{2F2917AC-EB37-4324-AD4E-5DD8C200BD13}">
      <x15:tableSlicerCache tableId="1" column="11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ntribuyente" cache="SegmentaciónDeDatos_Contribuyente" caption="Contribuyente" columnCount="2" style="SlicerStyleLight2" rowHeight="180000"/>
  <slicer name="Term" cache="SegmentaciónDeDatos_Term" caption="Term" columnCount="3" rowHeight="144000"/>
  <slicer name="IIBB" cache="SegmentaciónDeDatos_IIBB" caption="IIBB" style="SlicerStyleLight5" rowHeight="180000"/>
  <slicer name="Columna2" cache="SegmentaciónDeDatos_Columna2" caption="Cliente" columnCount="7" rowHeight="144000"/>
  <slicer name="Tipo Fact" cache="SegmentaciónDeDatos_Tipo_Fact" caption="FACTURADOR" columnCount="2" rowHeight="180000"/>
</slicers>
</file>

<file path=xl/tables/table1.xml><?xml version="1.0" encoding="utf-8"?>
<table xmlns="http://schemas.openxmlformats.org/spreadsheetml/2006/main" id="1" name="Tabla1" displayName="Tabla1" ref="A9:GP21" headerRowDxfId="413" dataDxfId="411" totalsRowDxfId="410" headerRowBorderDxfId="412">
  <autoFilter ref="A9:GP21"/>
  <tableColumns count="198">
    <tableColumn id="132" name="N°" totalsRowLabel="172" dataDxfId="409" totalsRowDxfId="408"/>
    <tableColumn id="131" name="Fecha Inicio" totalsRowLabel="1/6/2023" dataDxfId="407" totalsRowDxfId="406"/>
    <tableColumn id="11" name="LUGAR" totalsRowLabel="VECINOS" dataDxfId="405" totalsRowDxfId="404" dataCellStyle="Porcentaje"/>
    <tableColumn id="2" name="Clientes" totalsRowLabel="Cristian Daniel Fernandez" dataDxfId="403" totalsRowDxfId="402"/>
    <tableColumn id="8" name="Cliente" totalsRowFunction="custom" dataDxfId="401" totalsRowDxfId="400">
      <calculatedColumnFormula>LEFT(Tabla1[[#This Row],[Clientes]],1)</calculatedColumnFormula>
      <totalsRowFormula>LEFT(Tabla1[[#This Row],[Clientes]],1)</totalsRowFormula>
    </tableColumn>
    <tableColumn id="15" name="Planilla" totalsRowFunction="custom" dataDxfId="399" totalsRowDxfId="398">
      <totalsRowFormula>+Tabla1[[#This Row],[N°]]</totalsRowFormula>
    </tableColumn>
    <tableColumn id="54" name="Contribuyente" totalsRowLabel="Monot. Unificado" dataDxfId="397" totalsRowDxfId="396"/>
    <tableColumn id="36" name="FIRE" dataDxfId="395" totalsRowDxfId="394">
      <calculatedColumnFormula>VLOOKUP(Tabla1[[#This Row],[Clientes]],'[3]Control Facturacion Monotributo'!A$4:A$202,1,0)</calculatedColumnFormula>
    </tableColumn>
    <tableColumn id="103" name="CAT" dataDxfId="393" totalsRowDxfId="392"/>
    <tableColumn id="126" name="tipo monotributo" totalsRowLabel="Servicios" dataDxfId="391" totalsRowDxfId="390"/>
    <tableColumn id="73" name="CUIT" totalsRowLabel="20337113460" dataDxfId="389" totalsRowDxfId="388"/>
    <tableColumn id="70" name="Clave Fiscal" totalsRowLabel="Cristian2033" dataDxfId="387" totalsRowDxfId="386"/>
    <tableColumn id="62" name="Clave CIT" dataDxfId="385" totalsRowDxfId="384"/>
    <tableColumn id="17" name="Nom Oculto" dataDxfId="383" totalsRowDxfId="382"/>
    <tableColumn id="19" name="Clave Agip" dataDxfId="381" totalsRowDxfId="380"/>
    <tableColumn id="33" name="Term" totalsRowLabel="0" dataDxfId="379" totalsRowDxfId="378"/>
    <tableColumn id="111" name="FACTURADOR" totalsRowLabel="Xubio" dataDxfId="377" totalsRowDxfId="376"/>
    <tableColumn id="112" name="IIBB" totalsRowLabel="M.UNIFICADO" dataDxfId="375" totalsRowDxfId="374"/>
    <tableColumn id="10" name="Seguridad e Higiene" dataDxfId="373" totalsRowDxfId="372"/>
    <tableColumn id="116" name="LEGAJO           Seg e Hig." dataDxfId="371" totalsRowDxfId="370"/>
    <tableColumn id="39" name="Claves               Seg e Hig." dataDxfId="369" totalsRowDxfId="368"/>
    <tableColumn id="20" name="Sueldos" dataDxfId="367" totalsRowDxfId="366"/>
    <tableColumn id="119" name="Clave Xubio" dataDxfId="365" totalsRowDxfId="364"/>
    <tableColumn id="120" name="e-mail" totalsRowLabel="cokitoluna2@gmail.com" dataDxfId="363" totalsRowDxfId="362" dataCellStyle="Hipervínculo"/>
    <tableColumn id="16" name="IVA Ventas" totalsRowLabel="Empleado de Maither Gerardo" dataDxfId="361" totalsRowDxfId="360" dataCellStyle="Hipervínculo"/>
    <tableColumn id="88" name="clave agip2" dataDxfId="359" totalsRowDxfId="358"/>
    <tableColumn id="52" name="Medio de PAGO ARBA" dataDxfId="357" totalsRowDxfId="356" dataCellStyle="Hipervínculo"/>
    <tableColumn id="55" name="Medio de PAGO AFIP" dataDxfId="355" totalsRowDxfId="354" dataCellStyle="Hipervínculo"/>
    <tableColumn id="53" name="Telefono" dataDxfId="353" totalsRowDxfId="352" dataCellStyle="Hipervínculo"/>
    <tableColumn id="18" name="Relacion Fiscal" dataDxfId="351" totalsRowDxfId="350" dataCellStyle="Hipervínculo"/>
    <tableColumn id="129" name="Mercado Pago" dataDxfId="349" totalsRowDxfId="348"/>
    <tableColumn id="130" name="Facturacion de Mercado Pago" dataDxfId="347" totalsRowDxfId="346"/>
    <tableColumn id="143" name="Fact. Mensuales" dataDxfId="345" totalsRowDxfId="344"/>
    <tableColumn id="89" name="HASH User 1" dataDxfId="343"/>
    <tableColumn id="37" name="HASH Usser PV MP" dataDxfId="342"/>
    <tableColumn id="32" name="Plan FACTURANTE / XUBIO" dataDxfId="341" totalsRowDxfId="340"/>
    <tableColumn id="1" name="Local Propio / Alquilado" dataDxfId="339" totalsRowDxfId="338"/>
    <tableColumn id="35" name="Fecha de Nacimiento" dataDxfId="337" totalsRowDxfId="336"/>
    <tableColumn id="90" name="Mes de Cumpleanos" dataDxfId="335" totalsRowDxfId="334">
      <calculatedColumnFormula>MONTH(Tabla1[[#This Row],[Fecha de Nacimiento]])</calculatedColumnFormula>
    </tableColumn>
    <tableColumn id="91" name="VENTAS X" dataDxfId="333" totalsRowDxfId="332"/>
    <tableColumn id="121" name="Nombre Fantasía" dataDxfId="331" totalsRowDxfId="330" dataCellStyle="Hipervínculo"/>
    <tableColumn id="87" name="Ganancias &amp; Bienes Personales" dataDxfId="329" totalsRowDxfId="328"/>
    <tableColumn id="133" name="Observaciones DIANA" dataDxfId="327" totalsRowDxfId="326" dataCellStyle="Hipervínculo"/>
    <tableColumn id="23" name="contratos para RECATEGORIZACION" dataDxfId="325" totalsRowDxfId="324"/>
    <tableColumn id="22" name="SINDICATOS" dataDxfId="323" totalsRowDxfId="322"/>
    <tableColumn id="24" name="ECM-L" dataDxfId="321" totalsRowDxfId="320"/>
    <tableColumn id="21" name="VACIA 4" dataDxfId="319" totalsRowDxfId="318"/>
    <tableColumn id="30" name="CBU" dataDxfId="317" totalsRowDxfId="316"/>
    <tableColumn id="77" name="Nombre de fantasia" dataDxfId="315" totalsRowDxfId="314"/>
    <tableColumn id="38" name="Cód. Actividad" dataDxfId="313" totalsRowDxfId="312"/>
    <tableColumn id="44" name="Cód. Actividad2" dataDxfId="311" totalsRowDxfId="310"/>
    <tableColumn id="42" name="Régimen / Artículo" dataDxfId="309" totalsRowDxfId="308"/>
    <tableColumn id="43" name=" Tratamiento Fiscal" dataDxfId="307" totalsRowDxfId="306"/>
    <tableColumn id="3" name="ACTIVIDAD AFIP PRINCIPAL" totalsRowFunction="custom" dataDxfId="305" totalsRowDxfId="304">
      <calculatedColumnFormula>+Tabla1[[#This Row],[Seguridad e Higiene]]</calculatedColumnFormula>
      <totalsRowFormula>+Tabla1[[#This Row],[Seguridad e Higiene]]</totalsRowFormula>
    </tableColumn>
    <tableColumn id="34" name="ACTIVIDAD AFIP SECUNDARIA" dataDxfId="303" totalsRowDxfId="302"/>
    <tableColumn id="58" name="Actividad (Principal)" dataDxfId="301" totalsRowDxfId="300"/>
    <tableColumn id="57" name="Actividad (Secundaría)" dataDxfId="299" totalsRowDxfId="298"/>
    <tableColumn id="27" name="Pto. Vta. Act. Prin. 1 / Pto. Vta Manual" dataDxfId="297" totalsRowDxfId="296"/>
    <tableColumn id="79" name="Pto. de Venta Act. Prin. 2 / Pto. Vta. Mercado Pago" dataDxfId="295" totalsRowDxfId="294"/>
    <tableColumn id="80" name="Pto. de Venta Act. Prin. 3" dataDxfId="293" totalsRowDxfId="292"/>
    <tableColumn id="81" name="Pto. de Venta Act. Prin. 4" dataDxfId="291" totalsRowDxfId="290"/>
    <tableColumn id="82" name="Pto. Venta Act. Sec. 1" dataDxfId="289" totalsRowDxfId="288"/>
    <tableColumn id="83" name="Pto. Venta Act. Sec. 2" dataDxfId="287" totalsRowDxfId="286"/>
    <tableColumn id="84" name="Pto. Venta Act. Sec. 3" dataDxfId="285" totalsRowDxfId="284"/>
    <tableColumn id="51" name="Pto. Venta Act. Sec. 4" dataDxfId="283" totalsRowDxfId="282"/>
    <tableColumn id="98" name="Provincia Destino" dataDxfId="281" totalsRowDxfId="280"/>
    <tableColumn id="46" name="Beneficio Fiscal RI" dataDxfId="279" totalsRowDxfId="278"/>
    <tableColumn id="61" name="Coef. Unif 901" dataDxfId="277" totalsRowDxfId="276"/>
    <tableColumn id="174" name="Coef. Unif 902" dataDxfId="275" totalsRowDxfId="274"/>
    <tableColumn id="175" name="Coef. Unif 903" dataDxfId="273" totalsRowDxfId="272"/>
    <tableColumn id="176" name="Coef. Unif 904" dataDxfId="271" totalsRowDxfId="270"/>
    <tableColumn id="177" name="Coef. Unif 905" dataDxfId="269" totalsRowDxfId="268"/>
    <tableColumn id="178" name="Coef. Unif 906" dataDxfId="267" totalsRowDxfId="266"/>
    <tableColumn id="179" name="Coef. Unif 907" dataDxfId="265" totalsRowDxfId="264"/>
    <tableColumn id="180" name="Coef. Unif 908" dataDxfId="263" totalsRowDxfId="262"/>
    <tableColumn id="181" name="Coef. Unif 909" dataDxfId="261" totalsRowDxfId="260"/>
    <tableColumn id="182" name="Coef. Unif 910" dataDxfId="259" totalsRowDxfId="258"/>
    <tableColumn id="183" name="Coef. Unif 911" dataDxfId="257" totalsRowDxfId="256"/>
    <tableColumn id="184" name="Coef. Unif 912" dataDxfId="255" totalsRowDxfId="254"/>
    <tableColumn id="185" name="Coef. Unif 913" dataDxfId="253" totalsRowDxfId="252"/>
    <tableColumn id="186" name="Coef. Unif 914" dataDxfId="251" totalsRowDxfId="250"/>
    <tableColumn id="187" name="Coef. Unif 915" dataDxfId="249" totalsRowDxfId="248"/>
    <tableColumn id="188" name="Coef. Unif 916" dataDxfId="247" totalsRowDxfId="246"/>
    <tableColumn id="189" name="Coef. Unif 917" dataDxfId="245" totalsRowDxfId="244"/>
    <tableColumn id="190" name="Coef. Unif 918" dataDxfId="243" totalsRowDxfId="242"/>
    <tableColumn id="191" name="Coef. Unif 919" dataDxfId="241" totalsRowDxfId="240"/>
    <tableColumn id="192" name="Coef. Unif 920" dataDxfId="239" totalsRowDxfId="238"/>
    <tableColumn id="193" name="Coef. Unif 921" dataDxfId="237" totalsRowDxfId="236"/>
    <tableColumn id="194" name="Coef. Unif 922" dataDxfId="235" totalsRowDxfId="234"/>
    <tableColumn id="195" name="Coef. Unif 923" dataDxfId="233" totalsRowDxfId="232"/>
    <tableColumn id="196" name="Coef. Unif 924" dataDxfId="231" totalsRowDxfId="230"/>
    <tableColumn id="197" name="Convenio 901" dataDxfId="229" totalsRowDxfId="228"/>
    <tableColumn id="150" name="Convenio 902" dataDxfId="227" totalsRowDxfId="226"/>
    <tableColumn id="151" name="Convenio 903" dataDxfId="225" totalsRowDxfId="224"/>
    <tableColumn id="152" name="Convenio 904" dataDxfId="223" totalsRowDxfId="222"/>
    <tableColumn id="153" name="Convenio 905" dataDxfId="221" totalsRowDxfId="220"/>
    <tableColumn id="154" name="Convenio 906" dataDxfId="219" totalsRowDxfId="218"/>
    <tableColumn id="155" name="Convenio 907" dataDxfId="217" totalsRowDxfId="216"/>
    <tableColumn id="156" name="Convenio 908" dataDxfId="215" totalsRowDxfId="214"/>
    <tableColumn id="157" name="Convenio 909" dataDxfId="213" totalsRowDxfId="212"/>
    <tableColumn id="158" name="Convenio 910" dataDxfId="211" totalsRowDxfId="210"/>
    <tableColumn id="159" name="Convenio 911" dataDxfId="209" totalsRowDxfId="208"/>
    <tableColumn id="160" name="Convenio 912" dataDxfId="207" totalsRowDxfId="206"/>
    <tableColumn id="161" name="Convenio 913" dataDxfId="205" totalsRowDxfId="204"/>
    <tableColumn id="162" name="Convenio 914" dataDxfId="203" totalsRowDxfId="202"/>
    <tableColumn id="163" name="Convenio 915" dataDxfId="201" totalsRowDxfId="200"/>
    <tableColumn id="164" name="Convenio 916" dataDxfId="199" totalsRowDxfId="198"/>
    <tableColumn id="165" name="Convenio 917" dataDxfId="197" totalsRowDxfId="196"/>
    <tableColumn id="166" name="Convenio 918" dataDxfId="195" totalsRowDxfId="194"/>
    <tableColumn id="167" name="Convenio 919" dataDxfId="193" totalsRowDxfId="192"/>
    <tableColumn id="168" name="Convenio 920" dataDxfId="191" totalsRowDxfId="190"/>
    <tableColumn id="169" name="Convenio 921" dataDxfId="189" totalsRowDxfId="188"/>
    <tableColumn id="170" name="Convenio 922" dataDxfId="187" totalsRowDxfId="186"/>
    <tableColumn id="171" name="Convenio 923" dataDxfId="185" totalsRowDxfId="184"/>
    <tableColumn id="172" name="Convenio 924" dataDxfId="183" totalsRowDxfId="182"/>
    <tableColumn id="173" name="Alicuota 1 901" dataDxfId="181" totalsRowDxfId="180"/>
    <tableColumn id="115" name="Alicuota 1 902" dataDxfId="179" totalsRowDxfId="178"/>
    <tableColumn id="117" name="Alicuota 1 903" dataDxfId="177" totalsRowDxfId="176"/>
    <tableColumn id="118" name="Alicuota 1 904" dataDxfId="175" totalsRowDxfId="174"/>
    <tableColumn id="122" name="Alicuota 1 905" dataDxfId="173" totalsRowDxfId="172"/>
    <tableColumn id="123" name="Alicuota 1 906" dataDxfId="171" totalsRowDxfId="170"/>
    <tableColumn id="124" name="Alicuota 1 907" dataDxfId="169" totalsRowDxfId="168"/>
    <tableColumn id="125" name="Alicuota 1 908" dataDxfId="167" totalsRowDxfId="166"/>
    <tableColumn id="127" name="Alicuota 1 909" dataDxfId="165" totalsRowDxfId="164"/>
    <tableColumn id="128" name="Alicuota 1 910" dataDxfId="163" totalsRowDxfId="162"/>
    <tableColumn id="134" name="Alicuota 1 911" dataDxfId="161" totalsRowDxfId="160"/>
    <tableColumn id="135" name="Alicuota 1 912" dataDxfId="159" totalsRowDxfId="158"/>
    <tableColumn id="136" name="Alicuota 1 913" dataDxfId="157" totalsRowDxfId="156"/>
    <tableColumn id="137" name="Alicuota 1 914" dataDxfId="155" totalsRowDxfId="154"/>
    <tableColumn id="138" name="Alicuota 1 915" dataDxfId="153" totalsRowDxfId="152"/>
    <tableColumn id="139" name="Alicuota 1 916" dataDxfId="151" totalsRowDxfId="150"/>
    <tableColumn id="140" name="Alicuota 1 917" dataDxfId="149" totalsRowDxfId="148"/>
    <tableColumn id="141" name="Alicuota 1 918" dataDxfId="147" totalsRowDxfId="146"/>
    <tableColumn id="142" name="Alicuota 1 919" dataDxfId="145" totalsRowDxfId="144"/>
    <tableColumn id="144" name="Alicuota 1 920" dataDxfId="143" totalsRowDxfId="142"/>
    <tableColumn id="145" name="Alicuota 1 921" dataDxfId="141" totalsRowDxfId="140"/>
    <tableColumn id="146" name="Alicuota 1 922" dataDxfId="139" totalsRowDxfId="138"/>
    <tableColumn id="147" name="Alicuota 1 923" dataDxfId="137" totalsRowDxfId="136"/>
    <tableColumn id="148" name="Alicuota 1 924" dataDxfId="135" totalsRowDxfId="134"/>
    <tableColumn id="149" name="Alicuota 2 901" dataDxfId="133" totalsRowDxfId="132"/>
    <tableColumn id="71" name="Alicuota 2 902" dataDxfId="131" totalsRowDxfId="130"/>
    <tableColumn id="86" name="Alicuota 2 903" dataDxfId="129" totalsRowDxfId="128"/>
    <tableColumn id="92" name="Alicuota 2 904" dataDxfId="127" totalsRowDxfId="126"/>
    <tableColumn id="93" name="Alicuota 2 905" dataDxfId="125" totalsRowDxfId="124"/>
    <tableColumn id="94" name="Alicuota 2 906" dataDxfId="123" totalsRowDxfId="122"/>
    <tableColumn id="95" name="Alicuota 2 907" dataDxfId="121" totalsRowDxfId="120"/>
    <tableColumn id="96" name="Alicuota 2 908" dataDxfId="119" totalsRowDxfId="118"/>
    <tableColumn id="97" name="Alicuota 2 909" dataDxfId="117" totalsRowDxfId="116"/>
    <tableColumn id="100" name="Alicuota 2 910" dataDxfId="115" totalsRowDxfId="114"/>
    <tableColumn id="102" name="Alicuota 2 911" dataDxfId="113" totalsRowDxfId="112"/>
    <tableColumn id="104" name="Alicuota 2 912" dataDxfId="111" totalsRowDxfId="110"/>
    <tableColumn id="45" name="Alicuota 2 913" dataDxfId="109" totalsRowDxfId="108"/>
    <tableColumn id="99" name="Alicuota 2 914" dataDxfId="107" totalsRowDxfId="106"/>
    <tableColumn id="101" name="Alicuota 2 915" dataDxfId="105" totalsRowDxfId="104"/>
    <tableColumn id="105" name="Alicuota 2 916" dataDxfId="103" totalsRowDxfId="102"/>
    <tableColumn id="28" name="Alicuota 2 917" dataDxfId="101" totalsRowDxfId="100"/>
    <tableColumn id="106" name="Alicuota 2 918" dataDxfId="99" totalsRowDxfId="98"/>
    <tableColumn id="107" name="Alicuota 2 919" dataDxfId="97" totalsRowDxfId="96"/>
    <tableColumn id="108" name="Alicuota 2 920" dataDxfId="95" totalsRowDxfId="94"/>
    <tableColumn id="109" name="Alicuota 2 921" dataDxfId="93" totalsRowDxfId="92"/>
    <tableColumn id="110" name="Alicuota 2 922" dataDxfId="91" totalsRowDxfId="90"/>
    <tableColumn id="113" name="Alicuota 2 923" dataDxfId="89" totalsRowDxfId="88"/>
    <tableColumn id="114" name="Alicuota 2 924" dataDxfId="87" totalsRowDxfId="86"/>
    <tableColumn id="12" name="Libre 4" dataDxfId="85" totalsRowDxfId="84"/>
    <tableColumn id="13" name="Direccion2" dataDxfId="83" totalsRowDxfId="82"/>
    <tableColumn id="14" name="Horario3" dataDxfId="81" totalsRowDxfId="80"/>
    <tableColumn id="9" name="Localidad4" dataDxfId="79" totalsRowDxfId="78"/>
    <tableColumn id="41" name="Codigo Postal" dataDxfId="77" totalsRowDxfId="76"/>
    <tableColumn id="40" name="Partida -D6" dataDxfId="75" totalsRowDxfId="74"/>
    <tableColumn id="25" name="Cumpleaños" dataDxfId="73" totalsRowDxfId="72"/>
    <tableColumn id="26" name="Inicio de Act.  IIBB8" dataDxfId="71" totalsRowDxfId="70"/>
    <tableColumn id="29" name="Clave Agip." dataDxfId="69" totalsRowDxfId="68"/>
    <tableColumn id="63" name="Columna4" dataDxfId="67" totalsRowDxfId="66"/>
    <tableColumn id="64" name="cuit " dataDxfId="65" totalsRowDxfId="64"/>
    <tableColumn id="65" name="Clave Afip" dataDxfId="63" totalsRowDxfId="62"/>
    <tableColumn id="66" name="Clave ARBA" dataDxfId="61" totalsRowDxfId="60"/>
    <tableColumn id="67" name="Ingresos Brutos" dataDxfId="59" totalsRowDxfId="58" dataCellStyle="Millares"/>
    <tableColumn id="68" name="Inmobiliario" dataDxfId="57" totalsRowDxfId="56" dataCellStyle="Millares"/>
    <tableColumn id="69" name="Automotor" dataDxfId="55" totalsRowDxfId="54" dataCellStyle="Millares"/>
    <tableColumn id="72" name="Monot. / Autónomo" dataDxfId="53" totalsRowDxfId="52" dataCellStyle="Moneda"/>
    <tableColumn id="48" name="AGIP" dataDxfId="51" totalsRowDxfId="50" dataCellStyle="Moneda"/>
    <tableColumn id="74" name="SCT  IVA" dataDxfId="49" totalsRowDxfId="48" dataCellStyle="Moneda"/>
    <tableColumn id="75" name="SCT Empleados" dataDxfId="47" totalsRowDxfId="46" dataCellStyle="Moneda"/>
    <tableColumn id="76" name="SCT GCIA &amp; BP" dataDxfId="45" totalsRowDxfId="44" dataCellStyle="Moneda"/>
    <tableColumn id="50" name="SCT Contribución de Seg. Social" dataDxfId="43" totalsRowDxfId="42" dataCellStyle="Moneda"/>
    <tableColumn id="49" name="Convenio" dataDxfId="41" totalsRowDxfId="40" dataCellStyle="Moneda"/>
    <tableColumn id="56" name="Seg. e Higiene" dataDxfId="39" totalsRowDxfId="38" dataCellStyle="Moneda"/>
    <tableColumn id="31" name="Columna7" dataDxfId="37" totalsRowDxfId="36" dataCellStyle="Millares"/>
    <tableColumn id="7" name="Monto facturado 2024" dataDxfId="35" totalsRowDxfId="34" dataCellStyle="Millares"/>
    <tableColumn id="47" name="Categoria" dataDxfId="33" totalsRowDxfId="32" dataCellStyle="Millares"/>
    <tableColumn id="6" name="Tope" dataDxfId="31" totalsRowDxfId="30" dataCellStyle="Millares"/>
    <tableColumn id="5" name="Tope de Categoria" dataDxfId="29" totalsRowDxfId="28" dataCellStyle="Millares"/>
    <tableColumn id="4" name="Tope Categoria Mensual 2024" dataDxfId="27" totalsRowDxfId="26" dataCellStyle="Millares"/>
    <tableColumn id="60" name="Nombre" dataDxfId="25" totalsRowDxfId="24" dataCellStyle="Millares"/>
    <tableColumn id="78" name="ENVIADO  Monotributo" dataDxfId="23" totalsRowDxfId="22"/>
    <tableColumn id="198" name="ENVIADO Resp. Inscripto." dataDxfId="21" totalsRowDxfId="20">
      <calculatedColumnFormula>"Buenas tardes "&amp;Tabla1[[#This Row],[Nombre]]&amp;", adjunto envió la deuda que nosotros vemos en el sistema acumulada hasta el 31/12/2023, al mismo tiempo te estamos mandando un Print de Pantalla para que visualicen el detalle de cada concepto si es que tenes DEUDA."&amp;" "&amp;"En "&amp;Tabla1[[#Headers],[Monot. / Autónomo]]&amp;" "&amp;+Tabla1[[#This Row],[Monot. / Autónomo]]&amp;"   ***    "&amp;" "&amp;"En "&amp;Tabla1[[#Headers],[Ingresos Brutos]]&amp;" "&amp;+Tabla1[[#This Row],[Ingresos Brutos]]&amp;"   ***    "&amp;"En "&amp;Tabla1[[#Headers],[AGIP]]&amp;" "&amp;+Tabla1[[#This Row],[AGIP]]&amp;"   ***    "&amp;"En "&amp;Tabla1[[#Headers],[SCT  IVA]]&amp;" "&amp;+Tabla1[[#This Row],[SCT  IVA]]&amp;"   ***    "&amp;"En "&amp;Tabla1[[#Headers],[SCT Empleados]]&amp;" "&amp;+Tabla1[[#This Row],[SCT Empleados]]&amp;"   ***    "&amp;"En "&amp;Tabla1[[#Headers],[SCT GCIA &amp; BP]]&amp;" "&amp;+Tabla1[[#This Row],[SCT GCIA &amp; BP]]&amp;"   ***    "&amp;"En "&amp;Tabla1[[#Headers],[SCT Contribución de Seg. Social]]&amp;" "&amp;+Tabla1[[#This Row],[SCT Contribución de Seg. Social]]&amp;"   ***    "&amp;"En "&amp;Tabla1[[#Headers],[Convenio]]&amp;" "&amp;+Tabla1[[#This Row],[Convenio]]&amp;"   ***    "&amp;"En "&amp;Tabla1[[#Headers],[Seg. e Higiene]]&amp;" "&amp;+Tabla1[[#This Row],[Seg. e Higiene]]&amp;"En "&amp;Tabla1[[#Headers],[Inmobiliario]]&amp;" "&amp;+Tabla1[[#This Row],[Inmobiliario]]&amp;"   ***    "&amp;"En "&amp;Tabla1[[#Headers],[Automotor]]&amp;" "&amp;+Tabla1[[#This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calculatedColumnFormula>
    </tableColumn>
    <tableColumn id="85" name="WHATSAPP O MAIL" dataDxfId="19" totalsRowDxfId="18"/>
    <tableColumn id="59" name="RECATEGORIZACION" dataDxfId="17" totalsRowDxfId="16" dataCellStyle="Millares"/>
  </tableColumns>
  <tableStyleInfo name="TableStyleLight1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acturante.com/Usuarios/LogInCanal?hash=Uys5GYjcIS7EOHiuCk5E5lsTx08%3D" TargetMode="External"/><Relationship Id="rId13" Type="http://schemas.openxmlformats.org/officeDocument/2006/relationships/drawing" Target="../drawings/drawing1.xml"/><Relationship Id="rId18" Type="http://schemas.microsoft.com/office/2007/relationships/slicer" Target="../slicers/slicer1.xml"/><Relationship Id="rId3" Type="http://schemas.openxmlformats.org/officeDocument/2006/relationships/hyperlink" Target="mailto:aguilaroftalmologia@hotmail.com" TargetMode="External"/><Relationship Id="rId7" Type="http://schemas.openxmlformats.org/officeDocument/2006/relationships/hyperlink" Target="https://www.facturante.com/Usuarios/LogInCanal?hash=XWwDBgxp9bS%2FKHUu0MpD6K%2FsGRw%3D" TargetMode="External"/><Relationship Id="rId12" Type="http://schemas.openxmlformats.org/officeDocument/2006/relationships/printerSettings" Target="../printerSettings/printerSettings1.bin"/><Relationship Id="rId17" Type="http://schemas.openxmlformats.org/officeDocument/2006/relationships/table" Target="../tables/table1.xml"/><Relationship Id="rId2" Type="http://schemas.openxmlformats.org/officeDocument/2006/relationships/hyperlink" Target="mailto:amorinaarrieta@yahoo.com" TargetMode="External"/><Relationship Id="rId16" Type="http://schemas.openxmlformats.org/officeDocument/2006/relationships/image" Target="../media/image1.emf"/><Relationship Id="rId1" Type="http://schemas.openxmlformats.org/officeDocument/2006/relationships/hyperlink" Target="mailto:Lamatecita@yahoo.com.ar" TargetMode="External"/><Relationship Id="rId6" Type="http://schemas.openxmlformats.org/officeDocument/2006/relationships/hyperlink" Target="mailto:analiatriunfo.at@gmail.com" TargetMode="External"/><Relationship Id="rId11" Type="http://schemas.openxmlformats.org/officeDocument/2006/relationships/hyperlink" Target="mailto:analiatriunfo.at@gmail.com" TargetMode="External"/><Relationship Id="rId5" Type="http://schemas.openxmlformats.org/officeDocument/2006/relationships/hyperlink" Target="mailto:clausilvia31@gmail.com;" TargetMode="External"/><Relationship Id="rId15" Type="http://schemas.openxmlformats.org/officeDocument/2006/relationships/control" Target="../activeX/activeX1.xml"/><Relationship Id="rId10" Type="http://schemas.openxmlformats.org/officeDocument/2006/relationships/hyperlink" Target="mailto:mariela.araoz@gmail.com" TargetMode="External"/><Relationship Id="rId4" Type="http://schemas.openxmlformats.org/officeDocument/2006/relationships/hyperlink" Target="mailto:tropical.white.vegan@gmail.com" TargetMode="External"/><Relationship Id="rId9" Type="http://schemas.openxmlformats.org/officeDocument/2006/relationships/hyperlink" Target="mailto:autuorimartin@gmail.com"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1">
    <tabColor rgb="FFC00000"/>
  </sheetPr>
  <dimension ref="A1:GR1048115"/>
  <sheetViews>
    <sheetView showGridLines="0" tabSelected="1" zoomScale="110" zoomScaleNormal="110" zoomScaleSheetLayoutView="100" workbookViewId="0">
      <pane xSplit="13" ySplit="9" topLeftCell="FM10" activePane="bottomRight" state="frozen"/>
      <selection activeCell="C30" sqref="C30"/>
      <selection pane="topRight" activeCell="C30" sqref="C30"/>
      <selection pane="bottomLeft" activeCell="C30" sqref="C30"/>
      <selection pane="bottomRight" activeCell="D25" sqref="D25"/>
    </sheetView>
  </sheetViews>
  <sheetFormatPr baseColWidth="10" defaultColWidth="11.42578125" defaultRowHeight="15" x14ac:dyDescent="0.25"/>
  <cols>
    <col min="1" max="1" width="7.7109375" customWidth="1"/>
    <col min="2" max="2" width="9.5703125" customWidth="1"/>
    <col min="3" max="3" width="11.28515625" customWidth="1"/>
    <col min="4" max="4" width="29.5703125" style="1" customWidth="1"/>
    <col min="5" max="5" width="3.42578125" style="1" customWidth="1"/>
    <col min="6" max="6" width="9.85546875" style="2" hidden="1" customWidth="1"/>
    <col min="7" max="7" width="17.5703125" style="1" customWidth="1"/>
    <col min="8" max="8" width="13.28515625" style="1" customWidth="1"/>
    <col min="9" max="9" width="6.5703125" style="4" customWidth="1"/>
    <col min="10" max="10" width="13.140625" style="1" customWidth="1"/>
    <col min="11" max="11" width="18.7109375" style="1" customWidth="1"/>
    <col min="12" max="12" width="17.28515625" style="1" customWidth="1"/>
    <col min="13" max="13" width="15.28515625" style="1" customWidth="1"/>
    <col min="14" max="14" width="0.28515625" style="4" customWidth="1"/>
    <col min="15" max="15" width="14.140625" style="5" customWidth="1"/>
    <col min="16" max="16" width="4.140625" style="1" customWidth="1"/>
    <col min="17" max="17" width="19.42578125" style="1" customWidth="1"/>
    <col min="18" max="18" width="15.140625" style="1" customWidth="1"/>
    <col min="19" max="19" width="12.85546875" style="1" customWidth="1"/>
    <col min="20" max="20" width="12" style="5" customWidth="1"/>
    <col min="21" max="21" width="10.5703125" style="1" customWidth="1"/>
    <col min="22" max="22" width="4.42578125" style="1" customWidth="1"/>
    <col min="23" max="23" width="11" style="1" customWidth="1"/>
    <col min="24" max="24" width="31.85546875" customWidth="1"/>
    <col min="25" max="25" width="10.5703125" customWidth="1"/>
    <col min="26" max="26" width="13" customWidth="1"/>
    <col min="27" max="27" width="14.85546875" customWidth="1"/>
    <col min="28" max="28" width="14.5703125" customWidth="1"/>
    <col min="29" max="29" width="12.5703125" customWidth="1"/>
    <col min="30" max="30" width="11.85546875" customWidth="1"/>
    <col min="31" max="31" width="13.85546875" customWidth="1"/>
    <col min="32" max="32" width="12.140625" customWidth="1"/>
    <col min="33" max="33" width="13.5703125" style="2" customWidth="1"/>
    <col min="34" max="34" width="14.7109375" style="2" customWidth="1"/>
    <col min="35" max="35" width="13.85546875" customWidth="1"/>
    <col min="36" max="36" width="12.7109375" customWidth="1"/>
    <col min="37" max="37" width="11.5703125" customWidth="1"/>
    <col min="38" max="38" width="11" style="7" customWidth="1"/>
    <col min="39" max="39" width="10" style="4" customWidth="1"/>
    <col min="40" max="40" width="15.28515625" customWidth="1"/>
    <col min="41" max="41" width="18.7109375" style="8" customWidth="1"/>
    <col min="42" max="42" width="13.85546875" customWidth="1"/>
    <col min="43" max="43" width="15.140625" customWidth="1"/>
    <col min="44" max="44" width="18" customWidth="1"/>
    <col min="45" max="45" width="18.5703125" customWidth="1"/>
    <col min="46" max="46" width="6.140625" customWidth="1"/>
    <col min="47" max="47" width="12" customWidth="1"/>
    <col min="48" max="48" width="23.5703125" style="1" customWidth="1"/>
    <col min="49" max="49" width="15.85546875" customWidth="1"/>
    <col min="50" max="50" width="17.7109375" customWidth="1"/>
    <col min="51" max="51" width="14.7109375" customWidth="1"/>
    <col min="52" max="52" width="12.28515625" customWidth="1"/>
    <col min="53" max="53" width="11.28515625" customWidth="1"/>
    <col min="54" max="54" width="48.28515625" customWidth="1"/>
    <col min="55" max="55" width="16.42578125" customWidth="1"/>
    <col min="56" max="56" width="14.42578125" customWidth="1"/>
    <col min="57" max="57" width="15.140625" customWidth="1"/>
    <col min="58" max="58" width="15.5703125" customWidth="1"/>
    <col min="59" max="59" width="13" customWidth="1"/>
    <col min="60" max="60" width="12.140625" customWidth="1"/>
    <col min="61" max="62" width="13.28515625" customWidth="1"/>
    <col min="63" max="63" width="14" customWidth="1"/>
    <col min="64" max="64" width="12.42578125" customWidth="1"/>
    <col min="65" max="65" width="10.42578125" customWidth="1"/>
    <col min="66" max="66" width="17.28515625" customWidth="1"/>
    <col min="67" max="67" width="9.28515625" customWidth="1"/>
    <col min="68" max="68" width="10.140625" customWidth="1"/>
    <col min="69" max="73" width="9" customWidth="1"/>
    <col min="74" max="74" width="10" customWidth="1"/>
    <col min="75" max="92" width="9" customWidth="1"/>
    <col min="93" max="115" width="8.5703125" customWidth="1"/>
    <col min="116" max="116" width="8.7109375" customWidth="1"/>
    <col min="117" max="117" width="11.28515625" customWidth="1"/>
    <col min="118" max="139" width="8.5703125" customWidth="1"/>
    <col min="140" max="140" width="9" customWidth="1"/>
    <col min="141" max="163" width="8.5703125" customWidth="1"/>
    <col min="164" max="164" width="10.85546875" customWidth="1"/>
    <col min="165" max="165" width="20.42578125" customWidth="1"/>
    <col min="166" max="166" width="11.5703125" customWidth="1"/>
    <col min="167" max="167" width="17.28515625" customWidth="1"/>
    <col min="168" max="168" width="8.85546875" style="4" customWidth="1"/>
    <col min="169" max="169" width="14" customWidth="1"/>
    <col min="170" max="170" width="12.42578125" customWidth="1"/>
    <col min="171" max="171" width="11.7109375" customWidth="1"/>
    <col min="172" max="172" width="12.42578125" customWidth="1"/>
    <col min="173" max="173" width="0.28515625" customWidth="1"/>
    <col min="174" max="174" width="13.85546875" customWidth="1"/>
    <col min="175" max="176" width="14.5703125" customWidth="1"/>
    <col min="177" max="177" width="14.140625" style="9" customWidth="1"/>
    <col min="178" max="178" width="16.5703125" style="9" customWidth="1"/>
    <col min="179" max="179" width="15.85546875" style="9" customWidth="1"/>
    <col min="180" max="180" width="15.140625" style="230" bestFit="1" customWidth="1"/>
    <col min="181" max="181" width="13.42578125" style="13" customWidth="1"/>
    <col min="182" max="182" width="17.28515625" style="13" customWidth="1"/>
    <col min="183" max="183" width="14" style="13" customWidth="1"/>
    <col min="184" max="184" width="13.7109375" style="13" customWidth="1"/>
    <col min="185" max="185" width="16" style="13" customWidth="1"/>
    <col min="186" max="187" width="14.140625" style="13" customWidth="1"/>
    <col min="188" max="188" width="6.140625" style="9" customWidth="1"/>
    <col min="189" max="189" width="24.140625" style="14" bestFit="1" customWidth="1"/>
    <col min="190" max="190" width="13.85546875" style="9" bestFit="1" customWidth="1"/>
    <col min="191" max="191" width="10.28515625" style="9" bestFit="1" customWidth="1"/>
    <col min="192" max="192" width="15.5703125" style="14" customWidth="1"/>
    <col min="193" max="193" width="16.5703125" style="14" customWidth="1"/>
    <col min="194" max="194" width="15.5703125" style="14" customWidth="1"/>
    <col min="195" max="195" width="11.42578125" customWidth="1"/>
    <col min="196" max="196" width="12.85546875" customWidth="1"/>
    <col min="197" max="197" width="11.42578125" style="4" customWidth="1"/>
    <col min="198" max="198" width="18" style="1" customWidth="1"/>
  </cols>
  <sheetData>
    <row r="1" spans="1:199" ht="18.75" x14ac:dyDescent="0.3">
      <c r="G1" s="3">
        <f>+H2+H3+H4+H5+H6+H7</f>
        <v>12</v>
      </c>
      <c r="H1" s="1">
        <f>+G1-Q1</f>
        <v>0</v>
      </c>
      <c r="Q1" s="6">
        <f>SUM(P2:P7)</f>
        <v>12</v>
      </c>
      <c r="R1" s="4"/>
      <c r="U1"/>
      <c r="FX1" s="10"/>
      <c r="FY1" s="11"/>
      <c r="FZ1" s="12" t="s">
        <v>0</v>
      </c>
    </row>
    <row r="2" spans="1:199" ht="16.5" x14ac:dyDescent="0.3">
      <c r="D2" s="2"/>
      <c r="G2" s="15" t="s">
        <v>1</v>
      </c>
      <c r="H2" s="2">
        <f t="shared" ref="H2:H7" si="0">COUNTIF($G$9:$G$21,G2)</f>
        <v>1</v>
      </c>
      <c r="P2" s="1">
        <f t="shared" ref="P2:P7" si="1">COUNTIF($Q$9:$Q$21,Q2)</f>
        <v>3</v>
      </c>
      <c r="Q2" s="16" t="s">
        <v>2</v>
      </c>
      <c r="R2" s="17">
        <v>27280783213</v>
      </c>
      <c r="S2" s="1" t="s">
        <v>3</v>
      </c>
      <c r="U2" s="18"/>
      <c r="X2" s="19" t="s">
        <v>4</v>
      </c>
      <c r="AG2" s="20" t="s">
        <v>5</v>
      </c>
      <c r="AH2" s="2" t="s">
        <v>6</v>
      </c>
      <c r="FU2" s="21" t="s">
        <v>7</v>
      </c>
      <c r="FW2" s="22" t="e">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#VALUE!</v>
      </c>
      <c r="FX2" s="10"/>
      <c r="FY2" s="11"/>
      <c r="GL2" s="23"/>
    </row>
    <row r="3" spans="1:199" x14ac:dyDescent="0.25">
      <c r="D3" s="2"/>
      <c r="G3" s="15" t="s">
        <v>8</v>
      </c>
      <c r="H3" s="2">
        <f t="shared" si="0"/>
        <v>8</v>
      </c>
      <c r="P3" s="1">
        <f t="shared" si="1"/>
        <v>1</v>
      </c>
      <c r="Q3" s="24" t="s">
        <v>9</v>
      </c>
      <c r="R3" s="1" t="e">
        <f>VLOOKUP(R2,K9:GL21,184,0)</f>
        <v>#N/A</v>
      </c>
      <c r="S3" s="1" t="s">
        <v>10</v>
      </c>
      <c r="U3"/>
      <c r="X3" s="25" t="s">
        <v>11</v>
      </c>
      <c r="AG3" s="26" t="s">
        <v>12</v>
      </c>
      <c r="AH3" s="2" t="s">
        <v>13</v>
      </c>
      <c r="FU3" s="27" t="s">
        <v>14</v>
      </c>
      <c r="FX3" s="10"/>
      <c r="FY3" s="11"/>
    </row>
    <row r="4" spans="1:199" x14ac:dyDescent="0.25">
      <c r="D4" s="2"/>
      <c r="G4" s="15" t="s">
        <v>15</v>
      </c>
      <c r="H4" s="2">
        <f t="shared" si="0"/>
        <v>0</v>
      </c>
      <c r="P4" s="1">
        <f t="shared" si="1"/>
        <v>7</v>
      </c>
      <c r="Q4" s="28" t="s">
        <v>16</v>
      </c>
      <c r="R4" s="1" t="e">
        <f>VLOOKUP(R2,Tabla1[[#All],[CUIT]:[Nom Oculto]],4,0)</f>
        <v>#N/A</v>
      </c>
      <c r="S4" s="1" t="s">
        <v>17</v>
      </c>
      <c r="U4"/>
      <c r="AG4" s="29" t="s">
        <v>18</v>
      </c>
      <c r="AH4" s="2" t="s">
        <v>19</v>
      </c>
      <c r="FU4" s="30" t="s">
        <v>20</v>
      </c>
      <c r="FX4" s="10"/>
      <c r="FY4" s="11"/>
    </row>
    <row r="5" spans="1:199" x14ac:dyDescent="0.25">
      <c r="D5" s="2" t="s">
        <v>21</v>
      </c>
      <c r="G5" s="15" t="s">
        <v>22</v>
      </c>
      <c r="H5" s="2">
        <f t="shared" si="0"/>
        <v>3</v>
      </c>
      <c r="P5" s="1">
        <f t="shared" si="1"/>
        <v>1</v>
      </c>
      <c r="Q5" s="31" t="s">
        <v>23</v>
      </c>
      <c r="R5" s="1" t="e">
        <f>VLOOKUP(R2,Tabla1[[#All],[CUIT]:[Nom Oculto]],2,0)</f>
        <v>#N/A</v>
      </c>
      <c r="S5" s="1" t="s">
        <v>24</v>
      </c>
      <c r="AG5" s="29" t="s">
        <v>25</v>
      </c>
      <c r="AH5" s="2" t="s">
        <v>26</v>
      </c>
      <c r="AR5" s="32" t="s">
        <v>27</v>
      </c>
      <c r="FU5" s="33" t="s">
        <v>28</v>
      </c>
      <c r="FX5" s="10"/>
      <c r="FY5" s="11"/>
    </row>
    <row r="6" spans="1:199" x14ac:dyDescent="0.25">
      <c r="D6" s="2"/>
      <c r="G6" s="15" t="s">
        <v>29</v>
      </c>
      <c r="H6" s="2">
        <f t="shared" si="0"/>
        <v>0</v>
      </c>
      <c r="P6" s="1">
        <f t="shared" si="1"/>
        <v>0</v>
      </c>
      <c r="Q6" s="34" t="s">
        <v>30</v>
      </c>
      <c r="R6" s="1" t="e">
        <f>VLOOKUP(R2,Tabla1[[#All],[CUIT]:[Nom Oculto]],3,0)</f>
        <v>#N/A</v>
      </c>
      <c r="S6" s="1" t="s">
        <v>31</v>
      </c>
      <c r="FX6" s="10"/>
      <c r="FY6" s="11"/>
    </row>
    <row r="7" spans="1:199" x14ac:dyDescent="0.25">
      <c r="D7" s="2"/>
      <c r="G7" s="15" t="s">
        <v>32</v>
      </c>
      <c r="H7" s="2">
        <f t="shared" si="0"/>
        <v>0</v>
      </c>
      <c r="P7" s="1">
        <f t="shared" si="1"/>
        <v>0</v>
      </c>
      <c r="Q7" s="35" t="s">
        <v>33</v>
      </c>
      <c r="R7" s="36" t="e">
        <f>"Buenos Días "&amp;R3&amp;", te envió la Clave de ARCA/AFIP (   "&amp;R5&amp;"   ) la primera letra es Mayúscula. Y también te paso la Clave de ARBA (CIT)  (   "&amp;R6&amp;"   ) No intentes más de 3 veces o se Bloquea. Si se te Bloqueo AVISAME así la Recuperamos. "&amp;"Si el sistema te pide cambiar cualquiera de las dos Claves, HACELO, pero pásanos la nueva CLAVE así la actualizamos en nuestra Base de Datos. Muchas Gracias.    (MENSAJE AUTOMATICO)."</f>
        <v>#N/A</v>
      </c>
      <c r="S7" s="25" t="s">
        <v>34</v>
      </c>
      <c r="FX7" s="10"/>
      <c r="FY7" s="11"/>
    </row>
    <row r="8" spans="1:199" x14ac:dyDescent="0.25">
      <c r="D8" s="1">
        <v>1</v>
      </c>
      <c r="E8" s="1">
        <v>2</v>
      </c>
      <c r="F8" s="1">
        <v>3</v>
      </c>
      <c r="G8" s="1">
        <v>4</v>
      </c>
      <c r="H8" s="1">
        <v>5</v>
      </c>
      <c r="I8" s="4">
        <v>6</v>
      </c>
      <c r="J8" s="1">
        <v>7</v>
      </c>
      <c r="K8" s="1">
        <v>8</v>
      </c>
      <c r="L8" s="1">
        <v>9</v>
      </c>
      <c r="M8" s="1">
        <v>10</v>
      </c>
      <c r="N8" s="1">
        <v>11</v>
      </c>
      <c r="O8" s="1">
        <v>12</v>
      </c>
      <c r="P8" s="1">
        <v>13</v>
      </c>
      <c r="Q8" s="1">
        <v>14</v>
      </c>
      <c r="R8" s="1">
        <v>15</v>
      </c>
      <c r="S8" s="1">
        <v>16</v>
      </c>
      <c r="T8" s="5">
        <v>17</v>
      </c>
      <c r="U8" s="1">
        <v>18</v>
      </c>
      <c r="V8" s="1">
        <v>19</v>
      </c>
      <c r="W8" s="1">
        <v>20</v>
      </c>
      <c r="X8" s="1">
        <v>21</v>
      </c>
      <c r="Y8" s="1">
        <v>22</v>
      </c>
      <c r="Z8" s="1">
        <v>23</v>
      </c>
      <c r="AA8" s="1">
        <v>24</v>
      </c>
      <c r="AB8" s="1">
        <v>25</v>
      </c>
      <c r="AC8" s="1">
        <v>26</v>
      </c>
      <c r="AD8" s="1">
        <v>27</v>
      </c>
      <c r="AE8" s="1">
        <v>28</v>
      </c>
      <c r="AF8" s="1">
        <v>29</v>
      </c>
      <c r="AG8" s="1">
        <v>30</v>
      </c>
      <c r="AH8" s="1">
        <v>31</v>
      </c>
      <c r="AI8" s="1">
        <v>32</v>
      </c>
      <c r="AJ8" s="1">
        <v>33</v>
      </c>
      <c r="AK8" s="1">
        <v>34</v>
      </c>
      <c r="AL8" s="1">
        <v>35</v>
      </c>
      <c r="AM8" s="4">
        <v>36</v>
      </c>
      <c r="AN8" s="1">
        <v>37</v>
      </c>
      <c r="AO8" s="2">
        <v>38</v>
      </c>
      <c r="AP8" s="1">
        <v>39</v>
      </c>
      <c r="AQ8" s="1">
        <v>40</v>
      </c>
      <c r="AR8" s="1">
        <v>41</v>
      </c>
      <c r="AS8" s="1">
        <v>42</v>
      </c>
      <c r="AT8" s="1">
        <v>43</v>
      </c>
      <c r="AU8" s="1">
        <v>44</v>
      </c>
      <c r="AV8" s="1">
        <v>45</v>
      </c>
      <c r="AW8" s="1">
        <v>46</v>
      </c>
      <c r="AX8" s="1">
        <v>47</v>
      </c>
      <c r="AY8" s="1">
        <v>48</v>
      </c>
      <c r="AZ8" s="1">
        <v>49</v>
      </c>
      <c r="BA8" s="1">
        <v>50</v>
      </c>
      <c r="BB8" s="1">
        <v>51</v>
      </c>
      <c r="BC8" s="1">
        <v>52</v>
      </c>
      <c r="BD8" s="1">
        <v>53</v>
      </c>
      <c r="BE8" s="1">
        <v>54</v>
      </c>
      <c r="BF8" s="1">
        <v>55</v>
      </c>
      <c r="BG8" s="1">
        <v>56</v>
      </c>
      <c r="BH8" s="1">
        <v>57</v>
      </c>
      <c r="BI8" s="1">
        <v>58</v>
      </c>
      <c r="BJ8" s="1">
        <v>59</v>
      </c>
      <c r="BK8" s="1">
        <v>60</v>
      </c>
      <c r="BL8" s="1">
        <v>61</v>
      </c>
      <c r="BM8" s="1">
        <v>62</v>
      </c>
      <c r="BN8" s="1">
        <v>63</v>
      </c>
      <c r="BO8" s="1">
        <v>64</v>
      </c>
      <c r="BP8" s="1">
        <v>65</v>
      </c>
      <c r="BQ8" s="1">
        <v>66</v>
      </c>
      <c r="BR8" s="1">
        <v>67</v>
      </c>
      <c r="BS8" s="1">
        <v>68</v>
      </c>
      <c r="BT8" s="1">
        <v>69</v>
      </c>
      <c r="BU8" s="1">
        <v>70</v>
      </c>
      <c r="BV8" s="1">
        <v>71</v>
      </c>
      <c r="BW8" s="1">
        <v>72</v>
      </c>
      <c r="BX8" s="1">
        <v>73</v>
      </c>
      <c r="BY8" s="1">
        <v>74</v>
      </c>
      <c r="BZ8" s="1">
        <v>75</v>
      </c>
      <c r="CA8" s="1">
        <v>76</v>
      </c>
      <c r="CB8" s="1">
        <v>77</v>
      </c>
      <c r="CC8" s="1">
        <v>78</v>
      </c>
      <c r="CD8" s="1">
        <v>79</v>
      </c>
      <c r="CE8" s="1">
        <v>80</v>
      </c>
      <c r="CF8" s="1">
        <v>81</v>
      </c>
      <c r="CG8" s="1">
        <v>82</v>
      </c>
      <c r="CH8" s="1">
        <v>83</v>
      </c>
      <c r="CI8" s="1">
        <v>84</v>
      </c>
      <c r="CJ8" s="1">
        <v>85</v>
      </c>
      <c r="CK8" s="1">
        <v>86</v>
      </c>
      <c r="CL8" s="1">
        <v>87</v>
      </c>
      <c r="CM8" s="1">
        <v>88</v>
      </c>
      <c r="CN8" s="1">
        <v>89</v>
      </c>
      <c r="CO8" s="1">
        <v>90</v>
      </c>
      <c r="CP8" s="1">
        <v>91</v>
      </c>
      <c r="CQ8" s="1">
        <v>92</v>
      </c>
      <c r="CR8" s="1">
        <v>93</v>
      </c>
      <c r="CS8" s="1">
        <v>94</v>
      </c>
      <c r="CT8" s="1">
        <v>95</v>
      </c>
      <c r="CU8" s="1">
        <v>96</v>
      </c>
      <c r="CV8" s="1">
        <v>97</v>
      </c>
      <c r="CW8" s="1">
        <v>98</v>
      </c>
      <c r="CX8" s="1">
        <v>99</v>
      </c>
      <c r="CY8" s="1">
        <v>100</v>
      </c>
      <c r="CZ8" s="1">
        <v>101</v>
      </c>
      <c r="DA8" s="1">
        <v>102</v>
      </c>
      <c r="DB8" s="1">
        <v>103</v>
      </c>
      <c r="DC8" s="1">
        <v>104</v>
      </c>
      <c r="DD8" s="1">
        <v>105</v>
      </c>
      <c r="DE8" s="1">
        <v>106</v>
      </c>
      <c r="DF8" s="1">
        <v>107</v>
      </c>
      <c r="DG8" s="1">
        <v>108</v>
      </c>
      <c r="DH8" s="1">
        <v>109</v>
      </c>
      <c r="DI8" s="1">
        <v>110</v>
      </c>
      <c r="DJ8" s="1">
        <v>111</v>
      </c>
      <c r="DK8" s="1">
        <v>112</v>
      </c>
      <c r="DL8" s="1">
        <v>113</v>
      </c>
      <c r="DM8" s="1">
        <v>114</v>
      </c>
      <c r="DN8" s="1">
        <v>115</v>
      </c>
      <c r="DO8" s="1">
        <v>116</v>
      </c>
      <c r="DP8" s="1">
        <v>117</v>
      </c>
      <c r="DQ8" s="1">
        <v>118</v>
      </c>
      <c r="DR8" s="1">
        <v>119</v>
      </c>
      <c r="DS8" s="1">
        <v>120</v>
      </c>
      <c r="DT8" s="1">
        <v>121</v>
      </c>
      <c r="DU8" s="1">
        <v>122</v>
      </c>
      <c r="DV8" s="1">
        <v>123</v>
      </c>
      <c r="DW8" s="1">
        <v>124</v>
      </c>
      <c r="DX8" s="1">
        <v>125</v>
      </c>
      <c r="DY8" s="1">
        <v>126</v>
      </c>
      <c r="DZ8" s="1">
        <v>127</v>
      </c>
      <c r="EA8" s="1">
        <v>128</v>
      </c>
      <c r="EB8" s="1">
        <v>129</v>
      </c>
      <c r="EC8" s="1">
        <v>130</v>
      </c>
      <c r="ED8" s="1">
        <v>131</v>
      </c>
      <c r="EE8" s="1">
        <v>132</v>
      </c>
      <c r="EF8" s="1">
        <v>133</v>
      </c>
      <c r="EG8" s="1">
        <v>134</v>
      </c>
      <c r="EH8" s="1">
        <v>135</v>
      </c>
      <c r="EI8" s="1">
        <v>136</v>
      </c>
      <c r="EJ8" s="1">
        <v>137</v>
      </c>
      <c r="EK8" s="1">
        <v>138</v>
      </c>
      <c r="EL8" s="1">
        <v>139</v>
      </c>
      <c r="EM8" s="1">
        <v>140</v>
      </c>
      <c r="EN8" s="1">
        <v>141</v>
      </c>
      <c r="EO8" s="1">
        <v>142</v>
      </c>
      <c r="EP8" s="1">
        <v>143</v>
      </c>
      <c r="EQ8" s="1">
        <v>144</v>
      </c>
      <c r="ER8" s="1">
        <v>145</v>
      </c>
      <c r="ES8" s="1">
        <v>146</v>
      </c>
      <c r="ET8" s="1">
        <v>147</v>
      </c>
      <c r="EU8" s="1">
        <v>148</v>
      </c>
      <c r="EV8" s="1">
        <v>149</v>
      </c>
      <c r="EW8" s="1">
        <v>150</v>
      </c>
      <c r="EX8" s="1">
        <v>151</v>
      </c>
      <c r="EY8" s="1">
        <v>152</v>
      </c>
      <c r="EZ8" s="1">
        <v>153</v>
      </c>
      <c r="FA8" s="1">
        <v>154</v>
      </c>
      <c r="FB8" s="1">
        <v>155</v>
      </c>
      <c r="FC8" s="1">
        <v>156</v>
      </c>
      <c r="FD8" s="1">
        <v>157</v>
      </c>
      <c r="FE8" s="1">
        <v>158</v>
      </c>
      <c r="FF8" s="1">
        <v>159</v>
      </c>
      <c r="FG8" s="1">
        <v>160</v>
      </c>
      <c r="FH8" s="1">
        <v>161</v>
      </c>
      <c r="FI8" s="1">
        <v>162</v>
      </c>
      <c r="FJ8" s="1">
        <v>163</v>
      </c>
      <c r="FK8" s="1">
        <v>164</v>
      </c>
      <c r="FL8" s="1">
        <v>165</v>
      </c>
      <c r="FM8" s="1">
        <v>166</v>
      </c>
      <c r="FN8" s="1">
        <v>167</v>
      </c>
      <c r="FO8" s="1">
        <v>168</v>
      </c>
      <c r="FP8" s="1">
        <v>169</v>
      </c>
      <c r="FQ8" s="1">
        <v>170</v>
      </c>
      <c r="FR8" s="1">
        <v>171</v>
      </c>
      <c r="FS8" s="1">
        <v>172</v>
      </c>
      <c r="FT8" s="1">
        <v>173</v>
      </c>
      <c r="FU8" s="1">
        <v>174</v>
      </c>
      <c r="FV8" s="1">
        <v>175</v>
      </c>
      <c r="FW8" s="1">
        <v>176</v>
      </c>
      <c r="FX8" s="37">
        <v>177</v>
      </c>
      <c r="FY8" s="37">
        <v>178</v>
      </c>
      <c r="FZ8" s="37">
        <v>179</v>
      </c>
      <c r="GA8" s="37">
        <v>180</v>
      </c>
      <c r="GB8" s="37">
        <v>181</v>
      </c>
      <c r="GC8" s="37">
        <v>182</v>
      </c>
      <c r="GD8" s="37">
        <v>183</v>
      </c>
      <c r="GE8" s="37">
        <v>184</v>
      </c>
      <c r="GF8" s="1">
        <v>185</v>
      </c>
      <c r="GG8" s="1">
        <v>186</v>
      </c>
      <c r="GH8" s="1">
        <v>187</v>
      </c>
      <c r="GI8" s="1">
        <v>188</v>
      </c>
      <c r="GJ8" s="1">
        <v>189</v>
      </c>
      <c r="GK8" s="1">
        <v>190</v>
      </c>
      <c r="GL8" s="1">
        <v>191</v>
      </c>
      <c r="GM8" s="1">
        <v>192</v>
      </c>
      <c r="GN8" s="1"/>
      <c r="GO8" s="4">
        <v>193</v>
      </c>
      <c r="GP8" s="1">
        <v>194</v>
      </c>
    </row>
    <row r="9" spans="1:199" s="97" customFormat="1" ht="33" x14ac:dyDescent="0.25">
      <c r="A9" s="38" t="s">
        <v>35</v>
      </c>
      <c r="B9" s="39" t="s">
        <v>36</v>
      </c>
      <c r="C9" s="39" t="s">
        <v>37</v>
      </c>
      <c r="D9" s="40" t="s">
        <v>38</v>
      </c>
      <c r="E9" s="41" t="s">
        <v>39</v>
      </c>
      <c r="F9" s="42" t="s">
        <v>40</v>
      </c>
      <c r="G9" s="39" t="s">
        <v>41</v>
      </c>
      <c r="H9" s="43" t="s">
        <v>42</v>
      </c>
      <c r="I9" s="39" t="s">
        <v>43</v>
      </c>
      <c r="J9" s="39" t="s">
        <v>44</v>
      </c>
      <c r="K9" s="39" t="s">
        <v>3</v>
      </c>
      <c r="L9" s="44" t="s">
        <v>45</v>
      </c>
      <c r="M9" s="45" t="s">
        <v>46</v>
      </c>
      <c r="N9" s="46" t="s">
        <v>47</v>
      </c>
      <c r="O9" s="47" t="s">
        <v>48</v>
      </c>
      <c r="P9" s="39" t="s">
        <v>49</v>
      </c>
      <c r="Q9" s="48" t="s">
        <v>50</v>
      </c>
      <c r="R9" s="49" t="s">
        <v>51</v>
      </c>
      <c r="S9" s="48" t="s">
        <v>52</v>
      </c>
      <c r="T9" s="48" t="s">
        <v>53</v>
      </c>
      <c r="U9" s="48" t="s">
        <v>54</v>
      </c>
      <c r="V9" s="50" t="s">
        <v>55</v>
      </c>
      <c r="W9" s="51" t="s">
        <v>56</v>
      </c>
      <c r="X9" s="52" t="s">
        <v>57</v>
      </c>
      <c r="Y9" s="53" t="s">
        <v>58</v>
      </c>
      <c r="Z9" s="54" t="s">
        <v>59</v>
      </c>
      <c r="AA9" s="55" t="s">
        <v>60</v>
      </c>
      <c r="AB9" s="56" t="s">
        <v>61</v>
      </c>
      <c r="AC9" s="57" t="s">
        <v>62</v>
      </c>
      <c r="AD9" s="57" t="s">
        <v>63</v>
      </c>
      <c r="AE9" s="58" t="s">
        <v>64</v>
      </c>
      <c r="AF9" s="58" t="s">
        <v>65</v>
      </c>
      <c r="AG9" s="59" t="s">
        <v>66</v>
      </c>
      <c r="AH9" s="58" t="s">
        <v>67</v>
      </c>
      <c r="AI9" s="58" t="s">
        <v>68</v>
      </c>
      <c r="AJ9" s="60" t="s">
        <v>69</v>
      </c>
      <c r="AK9" s="61" t="s">
        <v>70</v>
      </c>
      <c r="AL9" s="62" t="s">
        <v>71</v>
      </c>
      <c r="AM9" s="63" t="s">
        <v>72</v>
      </c>
      <c r="AN9" s="64" t="s">
        <v>73</v>
      </c>
      <c r="AO9" s="65" t="s">
        <v>74</v>
      </c>
      <c r="AP9" s="66" t="s">
        <v>75</v>
      </c>
      <c r="AQ9" s="67" t="s">
        <v>76</v>
      </c>
      <c r="AR9" s="68" t="s">
        <v>77</v>
      </c>
      <c r="AS9" s="47" t="s">
        <v>78</v>
      </c>
      <c r="AT9" s="47" t="s">
        <v>79</v>
      </c>
      <c r="AU9" s="47" t="s">
        <v>80</v>
      </c>
      <c r="AV9" s="69" t="s">
        <v>81</v>
      </c>
      <c r="AW9" s="70" t="s">
        <v>82</v>
      </c>
      <c r="AX9" s="71" t="s">
        <v>83</v>
      </c>
      <c r="AY9" s="71" t="s">
        <v>84</v>
      </c>
      <c r="AZ9" s="71" t="s">
        <v>85</v>
      </c>
      <c r="BA9" s="71" t="s">
        <v>86</v>
      </c>
      <c r="BB9" s="70" t="s">
        <v>87</v>
      </c>
      <c r="BC9" s="70" t="s">
        <v>88</v>
      </c>
      <c r="BD9" s="72" t="s">
        <v>89</v>
      </c>
      <c r="BE9" s="72" t="s">
        <v>90</v>
      </c>
      <c r="BF9" s="73" t="s">
        <v>91</v>
      </c>
      <c r="BG9" s="72" t="s">
        <v>92</v>
      </c>
      <c r="BH9" s="72" t="s">
        <v>93</v>
      </c>
      <c r="BI9" s="72" t="s">
        <v>94</v>
      </c>
      <c r="BJ9" s="72" t="s">
        <v>95</v>
      </c>
      <c r="BK9" s="72" t="s">
        <v>96</v>
      </c>
      <c r="BL9" s="72" t="s">
        <v>97</v>
      </c>
      <c r="BM9" s="72" t="s">
        <v>98</v>
      </c>
      <c r="BN9" s="74" t="s">
        <v>99</v>
      </c>
      <c r="BO9" s="75" t="s">
        <v>100</v>
      </c>
      <c r="BP9" s="76" t="s">
        <v>101</v>
      </c>
      <c r="BQ9" s="76" t="s">
        <v>102</v>
      </c>
      <c r="BR9" s="76" t="s">
        <v>103</v>
      </c>
      <c r="BS9" s="76" t="s">
        <v>104</v>
      </c>
      <c r="BT9" s="76" t="s">
        <v>105</v>
      </c>
      <c r="BU9" s="76" t="s">
        <v>106</v>
      </c>
      <c r="BV9" s="76" t="s">
        <v>107</v>
      </c>
      <c r="BW9" s="76" t="s">
        <v>108</v>
      </c>
      <c r="BX9" s="76" t="s">
        <v>109</v>
      </c>
      <c r="BY9" s="76" t="s">
        <v>110</v>
      </c>
      <c r="BZ9" s="76" t="s">
        <v>111</v>
      </c>
      <c r="CA9" s="76" t="s">
        <v>112</v>
      </c>
      <c r="CB9" s="76" t="s">
        <v>113</v>
      </c>
      <c r="CC9" s="76" t="s">
        <v>114</v>
      </c>
      <c r="CD9" s="76" t="s">
        <v>115</v>
      </c>
      <c r="CE9" s="76" t="s">
        <v>116</v>
      </c>
      <c r="CF9" s="76" t="s">
        <v>117</v>
      </c>
      <c r="CG9" s="76" t="s">
        <v>118</v>
      </c>
      <c r="CH9" s="76" t="s">
        <v>119</v>
      </c>
      <c r="CI9" s="76" t="s">
        <v>120</v>
      </c>
      <c r="CJ9" s="76" t="s">
        <v>121</v>
      </c>
      <c r="CK9" s="76" t="s">
        <v>122</v>
      </c>
      <c r="CL9" s="76" t="s">
        <v>123</v>
      </c>
      <c r="CM9" s="76" t="s">
        <v>124</v>
      </c>
      <c r="CN9" s="77" t="s">
        <v>125</v>
      </c>
      <c r="CO9" s="77" t="s">
        <v>126</v>
      </c>
      <c r="CP9" s="77" t="s">
        <v>127</v>
      </c>
      <c r="CQ9" s="77" t="s">
        <v>128</v>
      </c>
      <c r="CR9" s="77" t="s">
        <v>129</v>
      </c>
      <c r="CS9" s="77" t="s">
        <v>130</v>
      </c>
      <c r="CT9" s="77" t="s">
        <v>131</v>
      </c>
      <c r="CU9" s="77" t="s">
        <v>132</v>
      </c>
      <c r="CV9" s="77" t="s">
        <v>133</v>
      </c>
      <c r="CW9" s="77" t="s">
        <v>134</v>
      </c>
      <c r="CX9" s="77" t="s">
        <v>135</v>
      </c>
      <c r="CY9" s="77" t="s">
        <v>136</v>
      </c>
      <c r="CZ9" s="77" t="s">
        <v>137</v>
      </c>
      <c r="DA9" s="77" t="s">
        <v>138</v>
      </c>
      <c r="DB9" s="77" t="s">
        <v>139</v>
      </c>
      <c r="DC9" s="77" t="s">
        <v>140</v>
      </c>
      <c r="DD9" s="77" t="s">
        <v>141</v>
      </c>
      <c r="DE9" s="77" t="s">
        <v>142</v>
      </c>
      <c r="DF9" s="77" t="s">
        <v>143</v>
      </c>
      <c r="DG9" s="77" t="s">
        <v>144</v>
      </c>
      <c r="DH9" s="77" t="s">
        <v>145</v>
      </c>
      <c r="DI9" s="77" t="s">
        <v>146</v>
      </c>
      <c r="DJ9" s="77" t="s">
        <v>147</v>
      </c>
      <c r="DK9" s="77" t="s">
        <v>148</v>
      </c>
      <c r="DL9" s="78" t="s">
        <v>149</v>
      </c>
      <c r="DM9" s="78" t="s">
        <v>150</v>
      </c>
      <c r="DN9" s="78" t="s">
        <v>151</v>
      </c>
      <c r="DO9" s="78" t="s">
        <v>152</v>
      </c>
      <c r="DP9" s="78" t="s">
        <v>153</v>
      </c>
      <c r="DQ9" s="78" t="s">
        <v>154</v>
      </c>
      <c r="DR9" s="78" t="s">
        <v>155</v>
      </c>
      <c r="DS9" s="78" t="s">
        <v>156</v>
      </c>
      <c r="DT9" s="78" t="s">
        <v>157</v>
      </c>
      <c r="DU9" s="78" t="s">
        <v>158</v>
      </c>
      <c r="DV9" s="78" t="s">
        <v>159</v>
      </c>
      <c r="DW9" s="78" t="s">
        <v>160</v>
      </c>
      <c r="DX9" s="78" t="s">
        <v>161</v>
      </c>
      <c r="DY9" s="78" t="s">
        <v>162</v>
      </c>
      <c r="DZ9" s="78" t="s">
        <v>163</v>
      </c>
      <c r="EA9" s="78" t="s">
        <v>164</v>
      </c>
      <c r="EB9" s="78" t="s">
        <v>165</v>
      </c>
      <c r="EC9" s="78" t="s">
        <v>166</v>
      </c>
      <c r="ED9" s="78" t="s">
        <v>167</v>
      </c>
      <c r="EE9" s="78" t="s">
        <v>168</v>
      </c>
      <c r="EF9" s="78" t="s">
        <v>169</v>
      </c>
      <c r="EG9" s="78" t="s">
        <v>170</v>
      </c>
      <c r="EH9" s="78" t="s">
        <v>171</v>
      </c>
      <c r="EI9" s="78" t="s">
        <v>172</v>
      </c>
      <c r="EJ9" s="79" t="s">
        <v>173</v>
      </c>
      <c r="EK9" s="79" t="s">
        <v>174</v>
      </c>
      <c r="EL9" s="79" t="s">
        <v>175</v>
      </c>
      <c r="EM9" s="79" t="s">
        <v>176</v>
      </c>
      <c r="EN9" s="79" t="s">
        <v>177</v>
      </c>
      <c r="EO9" s="79" t="s">
        <v>178</v>
      </c>
      <c r="EP9" s="79" t="s">
        <v>179</v>
      </c>
      <c r="EQ9" s="79" t="s">
        <v>180</v>
      </c>
      <c r="ER9" s="79" t="s">
        <v>181</v>
      </c>
      <c r="ES9" s="79" t="s">
        <v>182</v>
      </c>
      <c r="ET9" s="79" t="s">
        <v>183</v>
      </c>
      <c r="EU9" s="79" t="s">
        <v>184</v>
      </c>
      <c r="EV9" s="79" t="s">
        <v>185</v>
      </c>
      <c r="EW9" s="79" t="s">
        <v>186</v>
      </c>
      <c r="EX9" s="79" t="s">
        <v>187</v>
      </c>
      <c r="EY9" s="79" t="s">
        <v>188</v>
      </c>
      <c r="EZ9" s="79" t="s">
        <v>189</v>
      </c>
      <c r="FA9" s="79" t="s">
        <v>190</v>
      </c>
      <c r="FB9" s="79" t="s">
        <v>191</v>
      </c>
      <c r="FC9" s="79" t="s">
        <v>192</v>
      </c>
      <c r="FD9" s="79" t="s">
        <v>193</v>
      </c>
      <c r="FE9" s="79" t="s">
        <v>194</v>
      </c>
      <c r="FF9" s="79" t="s">
        <v>195</v>
      </c>
      <c r="FG9" s="79" t="s">
        <v>196</v>
      </c>
      <c r="FH9" s="74" t="s">
        <v>197</v>
      </c>
      <c r="FI9" s="70" t="s">
        <v>198</v>
      </c>
      <c r="FJ9" s="70" t="s">
        <v>199</v>
      </c>
      <c r="FK9" s="70" t="s">
        <v>200</v>
      </c>
      <c r="FL9" s="70" t="s">
        <v>201</v>
      </c>
      <c r="FM9" s="70" t="s">
        <v>202</v>
      </c>
      <c r="FN9" s="70" t="s">
        <v>203</v>
      </c>
      <c r="FO9" s="80" t="s">
        <v>204</v>
      </c>
      <c r="FP9" s="81" t="s">
        <v>205</v>
      </c>
      <c r="FQ9" s="82" t="s">
        <v>206</v>
      </c>
      <c r="FR9" s="83" t="s">
        <v>207</v>
      </c>
      <c r="FS9" s="83" t="s">
        <v>208</v>
      </c>
      <c r="FT9" s="84" t="s">
        <v>209</v>
      </c>
      <c r="FU9" s="85" t="s">
        <v>210</v>
      </c>
      <c r="FV9" s="86" t="s">
        <v>211</v>
      </c>
      <c r="FW9" s="86" t="s">
        <v>212</v>
      </c>
      <c r="FX9" s="87" t="s">
        <v>213</v>
      </c>
      <c r="FY9" s="88" t="s">
        <v>214</v>
      </c>
      <c r="FZ9" s="89" t="s">
        <v>215</v>
      </c>
      <c r="GA9" s="89" t="s">
        <v>216</v>
      </c>
      <c r="GB9" s="89" t="s">
        <v>217</v>
      </c>
      <c r="GC9" s="89" t="s">
        <v>218</v>
      </c>
      <c r="GD9" s="89" t="s">
        <v>219</v>
      </c>
      <c r="GE9" s="90" t="s">
        <v>220</v>
      </c>
      <c r="GF9" s="91" t="s">
        <v>221</v>
      </c>
      <c r="GG9" s="92" t="s">
        <v>222</v>
      </c>
      <c r="GH9" s="91" t="s">
        <v>223</v>
      </c>
      <c r="GI9" s="91" t="s">
        <v>224</v>
      </c>
      <c r="GJ9" s="93" t="s">
        <v>225</v>
      </c>
      <c r="GK9" s="94" t="s">
        <v>226</v>
      </c>
      <c r="GL9" s="92" t="s">
        <v>10</v>
      </c>
      <c r="GM9" s="95" t="s">
        <v>227</v>
      </c>
      <c r="GN9" s="95" t="s">
        <v>228</v>
      </c>
      <c r="GO9" s="95" t="s">
        <v>229</v>
      </c>
      <c r="GP9" s="96" t="s">
        <v>230</v>
      </c>
    </row>
    <row r="10" spans="1:199" x14ac:dyDescent="0.25">
      <c r="A10" s="98">
        <v>102</v>
      </c>
      <c r="B10" s="99">
        <v>42102</v>
      </c>
      <c r="C10" s="100" t="s">
        <v>231</v>
      </c>
      <c r="D10" s="101" t="s">
        <v>232</v>
      </c>
      <c r="E10" s="102" t="str">
        <f>LEFT(Tabla1[[#This Row],[Clientes]],1)</f>
        <v>A</v>
      </c>
      <c r="F10" s="103"/>
      <c r="G10" s="104" t="s">
        <v>22</v>
      </c>
      <c r="H10" s="22" t="str">
        <f>VLOOKUP(Tabla1[[#This Row],[Clientes]],'[2]Facturacion 2025'!B$8:B$213,1,0)</f>
        <v>Aguilar Marcelo Adrian</v>
      </c>
      <c r="I10" s="105" t="s">
        <v>233</v>
      </c>
      <c r="J10" s="106" t="s">
        <v>234</v>
      </c>
      <c r="K10" s="5">
        <v>20163254159</v>
      </c>
      <c r="L10" s="104" t="s">
        <v>235</v>
      </c>
      <c r="M10" s="104" t="s">
        <v>236</v>
      </c>
      <c r="N10" s="104" t="str">
        <f>+Tabla1[[#This Row],[Clientes]]</f>
        <v>AGUILAR MARCELO ADRIAN</v>
      </c>
      <c r="O10" s="104" t="s">
        <v>237</v>
      </c>
      <c r="P10" s="107" t="str">
        <f>RIGHT(Tabla1[[#This Row],[CUIT]],1)</f>
        <v>9</v>
      </c>
      <c r="Q10" s="24" t="s">
        <v>16</v>
      </c>
      <c r="R10" s="104" t="s">
        <v>238</v>
      </c>
      <c r="S10" s="104" t="s">
        <v>239</v>
      </c>
      <c r="T10" s="108" t="s">
        <v>34</v>
      </c>
      <c r="U10" s="108" t="s">
        <v>34</v>
      </c>
      <c r="V10" s="109" t="s">
        <v>34</v>
      </c>
      <c r="W10" s="22" t="s">
        <v>240</v>
      </c>
      <c r="X10" s="110" t="s">
        <v>241</v>
      </c>
      <c r="Y10" s="104" t="s">
        <v>242</v>
      </c>
      <c r="Z10" s="104" t="s">
        <v>237</v>
      </c>
      <c r="AA10" s="104" t="s">
        <v>243</v>
      </c>
      <c r="AB10" s="104" t="s">
        <v>243</v>
      </c>
      <c r="AC10" s="111" t="s">
        <v>244</v>
      </c>
      <c r="AD10" t="s">
        <v>34</v>
      </c>
      <c r="AE10" s="22" t="s">
        <v>245</v>
      </c>
      <c r="AF10" s="22" t="s">
        <v>34</v>
      </c>
      <c r="AG10" s="112" t="s">
        <v>246</v>
      </c>
      <c r="AH10" s="22" t="s">
        <v>34</v>
      </c>
      <c r="AI10" s="22" t="s">
        <v>34</v>
      </c>
      <c r="AJ10" s="22" t="s">
        <v>34</v>
      </c>
      <c r="AK10" s="104" t="s">
        <v>247</v>
      </c>
      <c r="AL10" s="113">
        <v>23042</v>
      </c>
      <c r="AM10" s="114">
        <f>MONTH(Tabla1[[#This Row],[Fecha de Nacimiento]])</f>
        <v>1</v>
      </c>
      <c r="AN10" s="115" t="s">
        <v>248</v>
      </c>
      <c r="AO10" s="116"/>
      <c r="AP10" s="117" t="s">
        <v>249</v>
      </c>
      <c r="AQ10" s="104" t="s">
        <v>250</v>
      </c>
      <c r="AR10" s="118" t="s">
        <v>34</v>
      </c>
      <c r="AS10" s="22" t="s">
        <v>34</v>
      </c>
      <c r="AT10" s="22" t="s">
        <v>251</v>
      </c>
      <c r="AU10" s="116" t="s">
        <v>34</v>
      </c>
      <c r="AV10" s="119" t="s">
        <v>252</v>
      </c>
      <c r="AW10" s="22" t="s">
        <v>34</v>
      </c>
      <c r="AX10" s="104" t="str">
        <f>LEFT(Tabla1[[#This Row],[ACTIVIDAD AFIP PRINCIPAL]],6)</f>
        <v>869090</v>
      </c>
      <c r="AY10" s="104" t="str">
        <f>LEFT(Tabla1[[#This Row],[ACTIVIDAD AFIP SECUNDARIA]],6)</f>
        <v/>
      </c>
      <c r="AZ10" s="104">
        <v>10</v>
      </c>
      <c r="BA10" s="104">
        <v>0</v>
      </c>
      <c r="BB10" s="104" t="s">
        <v>253</v>
      </c>
      <c r="BC10" s="22" t="s">
        <v>34</v>
      </c>
      <c r="BD10" s="104" t="s">
        <v>254</v>
      </c>
      <c r="BE10" s="104" t="s">
        <v>255</v>
      </c>
      <c r="BF10" s="104" t="s">
        <v>256</v>
      </c>
      <c r="BG10" s="22" t="s">
        <v>257</v>
      </c>
      <c r="BH10" s="120" t="s">
        <v>34</v>
      </c>
      <c r="BI10" s="22" t="s">
        <v>34</v>
      </c>
      <c r="BJ10" s="104">
        <v>5</v>
      </c>
      <c r="BK10" s="104">
        <v>6</v>
      </c>
      <c r="BL10" s="104">
        <v>7</v>
      </c>
      <c r="BM10" s="104">
        <v>8</v>
      </c>
      <c r="BN10" s="104" t="s">
        <v>258</v>
      </c>
      <c r="BO10" s="22" t="s">
        <v>34</v>
      </c>
      <c r="BP10" s="121">
        <v>6.8179999999999994E-3</v>
      </c>
      <c r="BQ10" s="121">
        <v>3.1819999999999999E-3</v>
      </c>
      <c r="BR10" s="121">
        <v>0</v>
      </c>
      <c r="BS10" s="121">
        <v>0</v>
      </c>
      <c r="BT10" s="121">
        <v>0</v>
      </c>
      <c r="BU10" s="121">
        <v>0</v>
      </c>
      <c r="BV10" s="121">
        <v>0</v>
      </c>
      <c r="BW10" s="121">
        <v>0</v>
      </c>
      <c r="BX10" s="121">
        <v>0</v>
      </c>
      <c r="BY10" s="121">
        <v>0</v>
      </c>
      <c r="BZ10" s="121">
        <v>0</v>
      </c>
      <c r="CA10" s="121">
        <v>0</v>
      </c>
      <c r="CB10" s="121">
        <v>0</v>
      </c>
      <c r="CC10" s="121">
        <v>0</v>
      </c>
      <c r="CD10" s="121">
        <v>0</v>
      </c>
      <c r="CE10" s="121">
        <v>0</v>
      </c>
      <c r="CF10" s="121">
        <v>0</v>
      </c>
      <c r="CG10" s="121">
        <v>0</v>
      </c>
      <c r="CH10" s="121">
        <v>0</v>
      </c>
      <c r="CI10" s="121">
        <v>0</v>
      </c>
      <c r="CJ10" s="121">
        <v>0</v>
      </c>
      <c r="CK10" s="121">
        <v>0</v>
      </c>
      <c r="CL10" s="121">
        <v>0</v>
      </c>
      <c r="CM10" s="121">
        <v>0</v>
      </c>
      <c r="CN10" s="122">
        <v>1</v>
      </c>
      <c r="CO10" s="122">
        <v>1</v>
      </c>
      <c r="CP10" s="122">
        <v>0</v>
      </c>
      <c r="CQ10" s="122">
        <v>0</v>
      </c>
      <c r="CR10" s="122">
        <v>0</v>
      </c>
      <c r="CS10" s="122">
        <v>0</v>
      </c>
      <c r="CT10" s="122">
        <v>0</v>
      </c>
      <c r="CU10" s="122">
        <v>0</v>
      </c>
      <c r="CV10" s="122">
        <v>0</v>
      </c>
      <c r="CW10" s="122">
        <v>0</v>
      </c>
      <c r="CX10" s="122">
        <v>0</v>
      </c>
      <c r="CY10" s="122">
        <v>0</v>
      </c>
      <c r="CZ10" s="122">
        <v>0</v>
      </c>
      <c r="DA10" s="122">
        <v>0</v>
      </c>
      <c r="DB10" s="122">
        <v>0</v>
      </c>
      <c r="DC10" s="122">
        <v>0</v>
      </c>
      <c r="DD10" s="122">
        <v>0</v>
      </c>
      <c r="DE10" s="122">
        <v>0</v>
      </c>
      <c r="DF10" s="122">
        <v>0</v>
      </c>
      <c r="DG10" s="122">
        <v>0</v>
      </c>
      <c r="DH10" s="122">
        <v>0</v>
      </c>
      <c r="DI10" s="122">
        <v>0</v>
      </c>
      <c r="DJ10" s="122">
        <v>0</v>
      </c>
      <c r="DK10" s="122">
        <v>0</v>
      </c>
      <c r="DL10" s="123">
        <v>0</v>
      </c>
      <c r="DM10" s="123">
        <v>0.04</v>
      </c>
      <c r="DN10" s="123">
        <v>0.03</v>
      </c>
      <c r="DO10" s="123">
        <v>4.7500000000000001E-2</v>
      </c>
      <c r="DP10" s="123">
        <v>0.5</v>
      </c>
      <c r="DQ10" s="123">
        <v>3.5000000000000003E-2</v>
      </c>
      <c r="DR10" s="123">
        <v>0.05</v>
      </c>
      <c r="DS10" s="123">
        <v>3.5000000000000003E-2</v>
      </c>
      <c r="DT10" s="123">
        <v>0.5</v>
      </c>
      <c r="DU10" s="123">
        <v>4.4999999999999998E-2</v>
      </c>
      <c r="DV10" s="123">
        <v>0.03</v>
      </c>
      <c r="DW10" s="123">
        <v>2.5000000000000001E-2</v>
      </c>
      <c r="DX10" s="123">
        <v>3.5000000000000003E-2</v>
      </c>
      <c r="DY10" s="123">
        <v>0.5</v>
      </c>
      <c r="DZ10" s="123">
        <v>0.05</v>
      </c>
      <c r="EA10" s="123">
        <v>0.05</v>
      </c>
      <c r="EB10" s="123">
        <v>0.03</v>
      </c>
      <c r="EC10" s="123">
        <v>0.03</v>
      </c>
      <c r="ED10" s="123">
        <v>4.2000000000000003E-2</v>
      </c>
      <c r="EE10" s="123">
        <v>0.03</v>
      </c>
      <c r="EF10" s="123">
        <v>4.4999999999999998E-2</v>
      </c>
      <c r="EG10" s="123">
        <v>0.5</v>
      </c>
      <c r="EH10" s="123">
        <v>3.5000000000000003E-2</v>
      </c>
      <c r="EI10" s="123">
        <v>0.05</v>
      </c>
      <c r="EJ10" s="123">
        <v>0</v>
      </c>
      <c r="EK10" s="123">
        <v>0</v>
      </c>
      <c r="EL10" s="123">
        <v>0</v>
      </c>
      <c r="EM10" s="123">
        <v>0</v>
      </c>
      <c r="EN10" s="123">
        <v>0</v>
      </c>
      <c r="EO10" s="123">
        <v>0</v>
      </c>
      <c r="EP10" s="123">
        <v>0</v>
      </c>
      <c r="EQ10" s="123">
        <v>0</v>
      </c>
      <c r="ER10" s="123">
        <v>0</v>
      </c>
      <c r="ES10" s="123">
        <v>0</v>
      </c>
      <c r="ET10" s="123">
        <v>0</v>
      </c>
      <c r="EU10" s="123">
        <v>0</v>
      </c>
      <c r="EV10" s="123">
        <v>0</v>
      </c>
      <c r="EW10" s="123">
        <v>0</v>
      </c>
      <c r="EX10" s="123">
        <v>0</v>
      </c>
      <c r="EY10" s="123">
        <v>0</v>
      </c>
      <c r="EZ10" s="123">
        <v>0</v>
      </c>
      <c r="FA10" s="123">
        <v>0</v>
      </c>
      <c r="FB10" s="123">
        <v>0</v>
      </c>
      <c r="FC10" s="123">
        <v>0</v>
      </c>
      <c r="FD10" s="123">
        <v>0</v>
      </c>
      <c r="FE10" s="123">
        <v>0</v>
      </c>
      <c r="FF10" s="123">
        <v>0</v>
      </c>
      <c r="FG10" s="123">
        <v>0</v>
      </c>
      <c r="FH10" s="22" t="s">
        <v>34</v>
      </c>
      <c r="FI10" s="104" t="s">
        <v>259</v>
      </c>
      <c r="FJ10" s="120" t="s">
        <v>34</v>
      </c>
      <c r="FK10" s="104" t="s">
        <v>260</v>
      </c>
      <c r="FL10" s="98">
        <v>1623</v>
      </c>
      <c r="FM10" s="22" t="s">
        <v>34</v>
      </c>
      <c r="FN10" s="104"/>
      <c r="FO10" s="100">
        <v>41699</v>
      </c>
      <c r="FP10" s="104" t="str">
        <f>IF(Tabla1[[#This Row],[Clave Agip]]="","",+Tabla1[[#This Row],[Clave Agip]])</f>
        <v>Adrian2016</v>
      </c>
      <c r="FQ10" s="124" t="s">
        <v>34</v>
      </c>
      <c r="FR10" s="104">
        <f>+Tabla1[[#This Row],[CUIT]]</f>
        <v>20163254159</v>
      </c>
      <c r="FS10" s="104" t="str">
        <f>+Tabla1[[#This Row],[Clave Fiscal]]</f>
        <v>Adrian201632</v>
      </c>
      <c r="FT10" s="104" t="str">
        <f>+Tabla1[[#This Row],[Clave CIT]]</f>
        <v>Emm325415</v>
      </c>
      <c r="FU10" s="125" t="s">
        <v>261</v>
      </c>
      <c r="FV10" s="125" t="s">
        <v>261</v>
      </c>
      <c r="FW10" s="125" t="s">
        <v>261</v>
      </c>
      <c r="FX10" s="125" t="s">
        <v>261</v>
      </c>
      <c r="FY10" s="125" t="s">
        <v>261</v>
      </c>
      <c r="FZ10" s="125" t="s">
        <v>261</v>
      </c>
      <c r="GA10" s="125" t="s">
        <v>261</v>
      </c>
      <c r="GB10" s="125" t="s">
        <v>261</v>
      </c>
      <c r="GC10" s="125" t="s">
        <v>261</v>
      </c>
      <c r="GD10" s="125" t="s">
        <v>261</v>
      </c>
      <c r="GE10" s="125" t="s">
        <v>261</v>
      </c>
      <c r="GF10" s="126" t="s">
        <v>233</v>
      </c>
      <c r="GG10" s="127" t="s">
        <v>34</v>
      </c>
      <c r="GH10" s="128" t="s">
        <v>233</v>
      </c>
      <c r="GI10" s="126" t="s">
        <v>34</v>
      </c>
      <c r="GJ10" s="129"/>
      <c r="GK10" s="127" t="s">
        <v>34</v>
      </c>
      <c r="GL10" s="130" t="s">
        <v>262</v>
      </c>
      <c r="GM10" s="22" t="s">
        <v>34</v>
      </c>
      <c r="GN10" s="22" t="str">
        <f>"Buenas tardes "&amp;Tabla1[[#This Row],[Nombre]]&amp;", adjunto envió la deuda que nosotros vemos en el sistema acumulada hasta el 31/07/2024, al mismo tiempo te estamos mandando un Print de Pantalla para que visualicen el detalle de cada concepto si es que tenes DEUDA."&amp;" "&amp;"En "&amp;Tabla1[[#Headers],[Monot. / Autónomo]]&amp;" "&amp;+Tabla1[[#This Row],[Monot. / Autónomo]]&amp;"   ***    "&amp;" "&amp;"En "&amp;Tabla1[[#Headers],[Ingresos Brutos]]&amp;" "&amp;+Tabla1[[#This Row],[Ingresos Brutos]]&amp;"   ***    "&amp;"En "&amp;Tabla1[[#Headers],[AGIP]]&amp;" "&amp;+Tabla1[[#This Row],[AGIP]]&amp;"   ***    "&amp;"En "&amp;Tabla1[[#Headers],[SCT  IVA]]&amp;" "&amp;+Tabla1[[#This Row],[SCT  IVA]]&amp;"   ***    "&amp;"En "&amp;Tabla1[[#Headers],[SCT Empleados]]&amp;" "&amp;+Tabla1[[#This Row],[SCT Empleados]]&amp;"   ***    "&amp;"En "&amp;Tabla1[[#Headers],[SCT GCIA &amp; BP]]&amp;" "&amp;+Tabla1[[#This Row],[SCT GCIA &amp; BP]]&amp;"   ***    "&amp;"En "&amp;Tabla1[[#Headers],[SCT Contribución de Seg. Social]]&amp;" "&amp;+Tabla1[[#This Row],[SCT Contribución de Seg. Social]]&amp;"   ***    "&amp;"En "&amp;Tabla1[[#Headers],[Convenio]]&amp;" "&amp;+Tabla1[[#This Row],[Convenio]]&amp;"   ***    "&amp;"En "&amp;Tabla1[[#Headers],[Seg. e Higiene]]&amp;" "&amp;+Tabla1[[#This Row],[Seg. e Higiene]]&amp;"En "&amp;Tabla1[[#Headers],[Inmobiliario]]&amp;" "&amp;+Tabla1[[#This Row],[Inmobiliario]]&amp;"   ***    "&amp;"En "&amp;Tabla1[[#Headers],[Automotor]]&amp;" "&amp;+Tabla1[[#This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f>
        <v>Buenas tardes Adrián, adjunto envió la deuda que nosotros vemos en el sistema acumulada hasta el 31/07/2024, al mismo tiempo te estamos mandando un Print de Pantalla para que visualicen el detalle de cada concepto si es que tenes DEUDA. En Monot. / Autónomo ( Sin Deuda )   ***     En Ingresos Brutos ( Sin Deuda )   ***    En AGIP ( Sin Deuda )   ***    En SCT  IVA ( Sin Deuda )   ***    En SCT Empleados ( Sin Deuda )   ***    En SCT GCIA &amp; BP ( Sin Deuda )   ***    En SCT Contribución de Seg. Social ( Sin Deuda )   ***    En Convenio ( Sin Deuda )   ***    En Seg. e Higiene ( Sin Deuda )En Inmobiliario ( Sin Deuda )   ***    En Automotor ( Sin Deuda )   ***    .       En caso de querer pagar todo Junto nos envías un mail o por Whatapp el aviso y te enviaremos un VEP; En caso de querer meterlo en un Plan de Pagos nos deberías de avisar y nos contactaremos para decirte en cuantas cuotas se puede hacer. Sin más saluda atentamente Cdor. Mariano Morteo.  Muchas Gracias  (ESTE MAIL ES AUTOMATICO).</v>
      </c>
      <c r="GO10" s="108" t="s">
        <v>263</v>
      </c>
      <c r="GP10" s="22" t="s">
        <v>34</v>
      </c>
      <c r="GQ10" s="131" t="s">
        <v>264</v>
      </c>
    </row>
    <row r="11" spans="1:199" ht="15.75" thickBot="1" x14ac:dyDescent="0.3">
      <c r="A11" s="98">
        <v>105</v>
      </c>
      <c r="B11" s="99">
        <v>44544</v>
      </c>
      <c r="C11" s="100" t="s">
        <v>265</v>
      </c>
      <c r="D11" s="132" t="s">
        <v>266</v>
      </c>
      <c r="E11" s="102" t="str">
        <f>LEFT(Tabla1[[#This Row],[Clientes]],1)</f>
        <v>A</v>
      </c>
      <c r="F11" s="103"/>
      <c r="G11" s="104" t="s">
        <v>8</v>
      </c>
      <c r="H11" s="22" t="str">
        <f>VLOOKUP(Tabla1[[#This Row],[Clientes]],'[2]Facturacion 2025'!B$8:B$213,1,0)</f>
        <v>Allerand Maria Teresa</v>
      </c>
      <c r="I11" s="133" t="s">
        <v>267</v>
      </c>
      <c r="J11" s="134" t="s">
        <v>234</v>
      </c>
      <c r="K11" s="5">
        <v>23132146454</v>
      </c>
      <c r="L11" s="135" t="s">
        <v>268</v>
      </c>
      <c r="M11" s="104" t="str">
        <f>+Tabla1[[#This Row],[Clave Fiscal]]</f>
        <v>Teresa2313</v>
      </c>
      <c r="N11" s="104" t="str">
        <f>+Tabla1[[#This Row],[Clientes]]</f>
        <v>ALLERAND MARIA TERESA</v>
      </c>
      <c r="O11" s="108" t="s">
        <v>34</v>
      </c>
      <c r="P11" s="107" t="str">
        <f>RIGHT(Tabla1[[#This Row],[CUIT]],1)</f>
        <v>4</v>
      </c>
      <c r="Q11" s="24" t="s">
        <v>16</v>
      </c>
      <c r="R11" s="104" t="s">
        <v>269</v>
      </c>
      <c r="S11" s="22" t="s">
        <v>34</v>
      </c>
      <c r="T11" s="108" t="s">
        <v>34</v>
      </c>
      <c r="U11" s="108" t="s">
        <v>34</v>
      </c>
      <c r="V11" s="136" t="s">
        <v>34</v>
      </c>
      <c r="W11" s="116" t="s">
        <v>240</v>
      </c>
      <c r="X11" s="137" t="s">
        <v>270</v>
      </c>
      <c r="Y11" s="104" t="s">
        <v>242</v>
      </c>
      <c r="Z11" s="116" t="s">
        <v>34</v>
      </c>
      <c r="AA11" s="116" t="s">
        <v>34</v>
      </c>
      <c r="AB11" s="116" t="s">
        <v>34</v>
      </c>
      <c r="AC11" s="111" t="s">
        <v>271</v>
      </c>
      <c r="AD11" t="s">
        <v>34</v>
      </c>
      <c r="AE11" s="22" t="s">
        <v>34</v>
      </c>
      <c r="AF11" s="22" t="s">
        <v>34</v>
      </c>
      <c r="AG11" s="138" t="s">
        <v>18</v>
      </c>
      <c r="AH11" s="139" t="s">
        <v>34</v>
      </c>
      <c r="AI11" s="139" t="s">
        <v>34</v>
      </c>
      <c r="AJ11" s="139" t="s">
        <v>34</v>
      </c>
      <c r="AK11" s="115" t="s">
        <v>272</v>
      </c>
      <c r="AL11" s="140">
        <v>21593</v>
      </c>
      <c r="AM11" s="141">
        <f>MONTH(Tabla1[[#This Row],[Fecha de Nacimiento]])</f>
        <v>2</v>
      </c>
      <c r="AN11" s="115" t="s">
        <v>248</v>
      </c>
      <c r="AO11" s="142" t="s">
        <v>34</v>
      </c>
      <c r="AP11" s="138" t="s">
        <v>273</v>
      </c>
      <c r="AQ11" s="143" t="s">
        <v>34</v>
      </c>
      <c r="AR11" s="22" t="s">
        <v>34</v>
      </c>
      <c r="AS11" s="22" t="s">
        <v>34</v>
      </c>
      <c r="AT11" s="22" t="s">
        <v>251</v>
      </c>
      <c r="AU11" s="116" t="s">
        <v>34</v>
      </c>
      <c r="AV11" s="119" t="s">
        <v>34</v>
      </c>
      <c r="AW11" s="22" t="s">
        <v>34</v>
      </c>
      <c r="AX11" s="22" t="s">
        <v>34</v>
      </c>
      <c r="AY11" s="22" t="s">
        <v>34</v>
      </c>
      <c r="AZ11" s="22" t="s">
        <v>34</v>
      </c>
      <c r="BA11" s="22" t="s">
        <v>34</v>
      </c>
      <c r="BB11" s="104" t="s">
        <v>274</v>
      </c>
      <c r="BC11" s="104" t="s">
        <v>275</v>
      </c>
      <c r="BD11" s="104" t="s">
        <v>276</v>
      </c>
      <c r="BE11" s="104" t="s">
        <v>255</v>
      </c>
      <c r="BF11" s="144" t="s">
        <v>34</v>
      </c>
      <c r="BG11" s="22" t="s">
        <v>34</v>
      </c>
      <c r="BH11" s="120" t="s">
        <v>34</v>
      </c>
      <c r="BI11" s="22" t="s">
        <v>34</v>
      </c>
      <c r="BJ11" s="104">
        <v>5</v>
      </c>
      <c r="BK11" s="104">
        <v>6</v>
      </c>
      <c r="BL11" s="104">
        <v>7</v>
      </c>
      <c r="BM11" s="104">
        <v>8</v>
      </c>
      <c r="BN11" s="104" t="s">
        <v>277</v>
      </c>
      <c r="BO11" s="22" t="s">
        <v>34</v>
      </c>
      <c r="BP11" s="121">
        <v>0</v>
      </c>
      <c r="BQ11" s="121">
        <v>0.01</v>
      </c>
      <c r="BR11" s="121">
        <v>0</v>
      </c>
      <c r="BS11" s="121">
        <v>0</v>
      </c>
      <c r="BT11" s="121">
        <v>0</v>
      </c>
      <c r="BU11" s="121">
        <v>0</v>
      </c>
      <c r="BV11" s="121">
        <v>0</v>
      </c>
      <c r="BW11" s="121">
        <v>0</v>
      </c>
      <c r="BX11" s="121">
        <v>0</v>
      </c>
      <c r="BY11" s="121">
        <v>0</v>
      </c>
      <c r="BZ11" s="121">
        <v>0</v>
      </c>
      <c r="CA11" s="121">
        <v>0</v>
      </c>
      <c r="CB11" s="121">
        <v>0</v>
      </c>
      <c r="CC11" s="121">
        <v>0</v>
      </c>
      <c r="CD11" s="121">
        <v>0</v>
      </c>
      <c r="CE11" s="121">
        <v>0</v>
      </c>
      <c r="CF11" s="121">
        <v>0</v>
      </c>
      <c r="CG11" s="121">
        <v>0</v>
      </c>
      <c r="CH11" s="121">
        <v>0</v>
      </c>
      <c r="CI11" s="121">
        <v>0</v>
      </c>
      <c r="CJ11" s="121">
        <v>0</v>
      </c>
      <c r="CK11" s="121">
        <v>0</v>
      </c>
      <c r="CL11" s="121">
        <v>0</v>
      </c>
      <c r="CM11" s="121">
        <v>0</v>
      </c>
      <c r="CN11" s="122">
        <v>1</v>
      </c>
      <c r="CO11" s="122">
        <v>14</v>
      </c>
      <c r="CP11" s="122">
        <v>1</v>
      </c>
      <c r="CQ11" s="122">
        <v>1</v>
      </c>
      <c r="CR11" s="122">
        <v>1</v>
      </c>
      <c r="CS11" s="122">
        <v>1</v>
      </c>
      <c r="CT11" s="122">
        <v>1</v>
      </c>
      <c r="CU11" s="122">
        <v>1</v>
      </c>
      <c r="CV11" s="122">
        <v>1</v>
      </c>
      <c r="CW11" s="122">
        <v>1</v>
      </c>
      <c r="CX11" s="122">
        <v>1</v>
      </c>
      <c r="CY11" s="122">
        <v>1</v>
      </c>
      <c r="CZ11" s="122">
        <v>1</v>
      </c>
      <c r="DA11" s="122">
        <v>1</v>
      </c>
      <c r="DB11" s="122">
        <v>1</v>
      </c>
      <c r="DC11" s="122">
        <v>1</v>
      </c>
      <c r="DD11" s="122">
        <v>1</v>
      </c>
      <c r="DE11" s="122">
        <v>1</v>
      </c>
      <c r="DF11" s="122">
        <v>1</v>
      </c>
      <c r="DG11" s="122">
        <v>1</v>
      </c>
      <c r="DH11" s="122">
        <v>1</v>
      </c>
      <c r="DI11" s="122">
        <v>1</v>
      </c>
      <c r="DJ11" s="122">
        <v>1</v>
      </c>
      <c r="DK11" s="122">
        <v>1</v>
      </c>
      <c r="DL11" s="123">
        <v>0</v>
      </c>
      <c r="DM11" s="123">
        <v>0</v>
      </c>
      <c r="DN11" s="123">
        <v>0</v>
      </c>
      <c r="DO11" s="123">
        <v>0</v>
      </c>
      <c r="DP11" s="123">
        <v>0</v>
      </c>
      <c r="DQ11" s="123">
        <v>0</v>
      </c>
      <c r="DR11" s="123">
        <v>0</v>
      </c>
      <c r="DS11" s="123">
        <v>0</v>
      </c>
      <c r="DT11" s="123">
        <v>0</v>
      </c>
      <c r="DU11" s="123">
        <v>0</v>
      </c>
      <c r="DV11" s="123">
        <v>0</v>
      </c>
      <c r="DW11" s="123">
        <v>0</v>
      </c>
      <c r="DX11" s="123">
        <v>0</v>
      </c>
      <c r="DY11" s="123">
        <v>0</v>
      </c>
      <c r="DZ11" s="123">
        <v>0</v>
      </c>
      <c r="EA11" s="123">
        <v>0</v>
      </c>
      <c r="EB11" s="123">
        <v>0</v>
      </c>
      <c r="EC11" s="123">
        <v>0</v>
      </c>
      <c r="ED11" s="123">
        <v>0</v>
      </c>
      <c r="EE11" s="123">
        <v>0</v>
      </c>
      <c r="EF11" s="123">
        <v>0</v>
      </c>
      <c r="EG11" s="123">
        <v>0</v>
      </c>
      <c r="EH11" s="123">
        <v>0</v>
      </c>
      <c r="EI11" s="123">
        <v>0</v>
      </c>
      <c r="EJ11" s="123">
        <v>0</v>
      </c>
      <c r="EK11" s="123">
        <v>0</v>
      </c>
      <c r="EL11" s="123">
        <v>0</v>
      </c>
      <c r="EM11" s="123">
        <v>0</v>
      </c>
      <c r="EN11" s="123">
        <v>0</v>
      </c>
      <c r="EO11" s="123">
        <v>0</v>
      </c>
      <c r="EP11" s="123">
        <v>0</v>
      </c>
      <c r="EQ11" s="123">
        <v>0</v>
      </c>
      <c r="ER11" s="123">
        <v>0</v>
      </c>
      <c r="ES11" s="123">
        <v>0</v>
      </c>
      <c r="ET11" s="123">
        <v>0</v>
      </c>
      <c r="EU11" s="123">
        <v>0</v>
      </c>
      <c r="EV11" s="123">
        <v>0</v>
      </c>
      <c r="EW11" s="123">
        <v>0</v>
      </c>
      <c r="EX11" s="123">
        <v>0</v>
      </c>
      <c r="EY11" s="123">
        <v>0</v>
      </c>
      <c r="EZ11" s="123">
        <v>0</v>
      </c>
      <c r="FA11" s="123">
        <v>0</v>
      </c>
      <c r="FB11" s="123">
        <v>0</v>
      </c>
      <c r="FC11" s="123">
        <v>0</v>
      </c>
      <c r="FD11" s="123">
        <v>0</v>
      </c>
      <c r="FE11" s="123">
        <v>0</v>
      </c>
      <c r="FF11" s="123">
        <v>0</v>
      </c>
      <c r="FG11" s="123">
        <v>0</v>
      </c>
      <c r="FH11" s="22" t="s">
        <v>34</v>
      </c>
      <c r="FI11" s="22" t="s">
        <v>34</v>
      </c>
      <c r="FJ11" s="120" t="s">
        <v>34</v>
      </c>
      <c r="FK11" s="22" t="s">
        <v>34</v>
      </c>
      <c r="FL11" s="108" t="s">
        <v>34</v>
      </c>
      <c r="FM11" s="22" t="s">
        <v>34</v>
      </c>
      <c r="FN11" s="22"/>
      <c r="FO11" s="145" t="s">
        <v>34</v>
      </c>
      <c r="FP11" s="104" t="str">
        <f>IF(Tabla1[[#This Row],[Clave Agip]]="","",+Tabla1[[#This Row],[Clave Agip]])</f>
        <v/>
      </c>
      <c r="FQ11" s="124" t="s">
        <v>34</v>
      </c>
      <c r="FR11" s="104">
        <f>+Tabla1[[#This Row],[CUIT]]</f>
        <v>23132146454</v>
      </c>
      <c r="FS11" s="104" t="str">
        <f>+Tabla1[[#This Row],[Clave Fiscal]]</f>
        <v>Teresa2313</v>
      </c>
      <c r="FT11" s="104" t="str">
        <f>+Tabla1[[#This Row],[Clave CIT]]</f>
        <v>Teresa2313</v>
      </c>
      <c r="FU11" s="125" t="s">
        <v>261</v>
      </c>
      <c r="FV11" s="125">
        <v>88992.7</v>
      </c>
      <c r="FW11" s="125" t="s">
        <v>261</v>
      </c>
      <c r="FX11" s="125">
        <v>51389.17</v>
      </c>
      <c r="FY11" s="125" t="s">
        <v>261</v>
      </c>
      <c r="FZ11" s="125" t="s">
        <v>261</v>
      </c>
      <c r="GA11" s="125" t="s">
        <v>261</v>
      </c>
      <c r="GB11" s="125" t="s">
        <v>261</v>
      </c>
      <c r="GC11" s="125" t="s">
        <v>261</v>
      </c>
      <c r="GD11" s="125" t="s">
        <v>261</v>
      </c>
      <c r="GE11" s="125" t="s">
        <v>261</v>
      </c>
      <c r="GF11" s="126" t="s">
        <v>267</v>
      </c>
      <c r="GG11" s="128">
        <v>18561443.490000002</v>
      </c>
      <c r="GH11" s="128" t="s">
        <v>278</v>
      </c>
      <c r="GI11" s="128" t="s">
        <v>279</v>
      </c>
      <c r="GJ11" s="146">
        <v>61344854</v>
      </c>
      <c r="GK11" s="130">
        <v>5112071</v>
      </c>
      <c r="GL11" s="147" t="s">
        <v>280</v>
      </c>
      <c r="GM11"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Teresa, adjunto envío la deuda al 30/04/2024, si no tenes deuda figura (sin deuda), al mismo tiempo les estamos mandando un PDF para que visualicen su deuda  y el detalle de cada concepto. En Deuda Monotributo / Autónomo $ 51389.17. En Deuda     Ingresos Brutos $ ( Sin Deuda ). En Deuda     Inmobiliario $ 88992.7. En Deuda     Automotor $ ( Sin Deuda ). En caso de querer pagar todo Junto nos envían un mail o por Whatapp el aviso y les enviaremos un VEP; En caso de querer meterlo en un Plan de Pagos nos deberían de avisar y nos contactaremos para decirles en cuantas cuotas se puede hacer.     Te paso también la Clave de Afip     Teresa2313     y la clave de ARBA(cit)      Teresa2313     para que las tengas Actualizadas. Abrazos. Sin mas saluda atentamente   Cdor. Mariano Morteo. (ESTE MAIL ES AUTOMATICO)</v>
      </c>
      <c r="GN11" s="22" t="s">
        <v>34</v>
      </c>
      <c r="GO11" s="148" t="s">
        <v>281</v>
      </c>
      <c r="GP11"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Teresa,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'C' y El monto facturado durante 2024-06a 2025-06 fue de $ 18561443.49 lo que te dejo luego de LA RECATEGORIZACIÓN en la CATEGORÍA 'D' Tu ACTIVIDAD es de 'Servicios' lo que hace que tu categoría máxima sea la 'H' pudiendo facturar un máximo anual de $ 61344854 este monto te permitirá facturar un promedio de $ 5112071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$ 88992.7 AUTOMOTOR $ ( Sin Deuda ) MONOTRIBUTO $ 51389.17 Cualquier duda que tengas, te pido te comuniques con nosotros para acláratelas. Muchas Gracias.          Te paso también la Clave de Afip     Teresa2313     y la clave de ARBA(cit)      Teresa2313     para que las tengas Actualizadas, si te pide cambiarlas avísanos por favor. Abrazos            ((ESTE ES UN MENSAJE AUTOMATICO))</v>
      </c>
      <c r="GQ11" s="131" t="s">
        <v>264</v>
      </c>
    </row>
    <row r="12" spans="1:199" x14ac:dyDescent="0.25">
      <c r="A12" s="98">
        <v>106</v>
      </c>
      <c r="B12" s="99">
        <v>42614</v>
      </c>
      <c r="C12" s="100" t="s">
        <v>282</v>
      </c>
      <c r="D12" s="101" t="s">
        <v>283</v>
      </c>
      <c r="E12" s="102" t="str">
        <f>LEFT(Tabla1[[#This Row],[Clientes]],1)</f>
        <v>A</v>
      </c>
      <c r="F12" s="103"/>
      <c r="G12" s="104" t="s">
        <v>22</v>
      </c>
      <c r="H12" s="22" t="str">
        <f>VLOOKUP(Tabla1[[#This Row],[Clientes]],'[2]Facturacion 2025'!B$8:B$213,1,0)</f>
        <v>Altamirano Margarita Ester</v>
      </c>
      <c r="I12" s="105" t="s">
        <v>233</v>
      </c>
      <c r="J12" s="106" t="s">
        <v>284</v>
      </c>
      <c r="K12" s="5">
        <v>27281829888</v>
      </c>
      <c r="L12" s="104" t="s">
        <v>285</v>
      </c>
      <c r="M12" s="104" t="s">
        <v>286</v>
      </c>
      <c r="N12" s="104" t="str">
        <f>+Tabla1[[#This Row],[Clientes]]</f>
        <v>ALTAMIRANO MARGARITA ESTER</v>
      </c>
      <c r="O12" s="98" t="s">
        <v>287</v>
      </c>
      <c r="P12" s="107" t="str">
        <f>RIGHT(Tabla1[[#This Row],[CUIT]],1)</f>
        <v>8</v>
      </c>
      <c r="Q12" s="24" t="s">
        <v>9</v>
      </c>
      <c r="R12" s="104" t="s">
        <v>238</v>
      </c>
      <c r="S12" s="104" t="s">
        <v>239</v>
      </c>
      <c r="T12" s="108" t="s">
        <v>34</v>
      </c>
      <c r="U12" s="108" t="s">
        <v>34</v>
      </c>
      <c r="V12" s="136" t="s">
        <v>34</v>
      </c>
      <c r="W12" s="22" t="s">
        <v>240</v>
      </c>
      <c r="X12" s="149" t="s">
        <v>288</v>
      </c>
      <c r="Y12" s="104" t="s">
        <v>289</v>
      </c>
      <c r="Z12" s="104" t="s">
        <v>290</v>
      </c>
      <c r="AA12" s="115" t="s">
        <v>243</v>
      </c>
      <c r="AB12" s="115" t="s">
        <v>243</v>
      </c>
      <c r="AC12" s="111" t="s">
        <v>291</v>
      </c>
      <c r="AD12" t="s">
        <v>34</v>
      </c>
      <c r="AE12" s="150" t="s">
        <v>64</v>
      </c>
      <c r="AF12" s="139" t="s">
        <v>34</v>
      </c>
      <c r="AG12" s="112" t="s">
        <v>25</v>
      </c>
      <c r="AH12" s="124" t="s">
        <v>34</v>
      </c>
      <c r="AI12" s="124" t="s">
        <v>34</v>
      </c>
      <c r="AJ12" s="104" t="s">
        <v>292</v>
      </c>
      <c r="AK12" s="104" t="s">
        <v>247</v>
      </c>
      <c r="AL12" s="113">
        <v>29392</v>
      </c>
      <c r="AM12" s="108">
        <f>MONTH(Tabla1[[#This Row],[Fecha de Nacimiento]])</f>
        <v>6</v>
      </c>
      <c r="AN12" s="115" t="s">
        <v>248</v>
      </c>
      <c r="AO12" s="116" t="s">
        <v>34</v>
      </c>
      <c r="AP12" s="104" t="s">
        <v>293</v>
      </c>
      <c r="AQ12" s="22" t="s">
        <v>294</v>
      </c>
      <c r="AR12" s="118" t="s">
        <v>295</v>
      </c>
      <c r="AS12" s="22" t="s">
        <v>34</v>
      </c>
      <c r="AT12" s="22" t="s">
        <v>251</v>
      </c>
      <c r="AU12" s="116" t="s">
        <v>34</v>
      </c>
      <c r="AV12" s="22" t="s">
        <v>296</v>
      </c>
      <c r="AW12" s="104" t="s">
        <v>297</v>
      </c>
      <c r="AX12" s="104" t="str">
        <f>LEFT(Tabla1[[#This Row],[ACTIVIDAD AFIP PRINCIPAL]],6)</f>
        <v>472160</v>
      </c>
      <c r="AY12" s="104" t="str">
        <f>LEFT(Tabla1[[#This Row],[ACTIVIDAD AFIP SECUNDARIA]],6)</f>
        <v/>
      </c>
      <c r="AZ12" s="104">
        <v>2</v>
      </c>
      <c r="BA12" s="104">
        <v>0</v>
      </c>
      <c r="BB12" s="104" t="s">
        <v>298</v>
      </c>
      <c r="BC12" s="22" t="s">
        <v>34</v>
      </c>
      <c r="BD12" s="104" t="s">
        <v>299</v>
      </c>
      <c r="BE12" s="104" t="s">
        <v>255</v>
      </c>
      <c r="BF12" s="151" t="s">
        <v>256</v>
      </c>
      <c r="BG12" s="104" t="s">
        <v>257</v>
      </c>
      <c r="BH12" s="22" t="s">
        <v>300</v>
      </c>
      <c r="BI12" s="22" t="s">
        <v>34</v>
      </c>
      <c r="BJ12" s="104">
        <v>5</v>
      </c>
      <c r="BK12" s="104">
        <v>6</v>
      </c>
      <c r="BL12" s="104">
        <v>7</v>
      </c>
      <c r="BM12" s="104">
        <v>8</v>
      </c>
      <c r="BN12" s="104" t="s">
        <v>277</v>
      </c>
      <c r="BO12" s="22" t="s">
        <v>34</v>
      </c>
      <c r="BP12" s="121">
        <v>3.2929999999999999E-3</v>
      </c>
      <c r="BQ12" s="121">
        <v>6.6940000000000003E-3</v>
      </c>
      <c r="BR12" s="121">
        <v>0</v>
      </c>
      <c r="BS12" s="121">
        <v>1.9999999999999999E-6</v>
      </c>
      <c r="BT12" s="121">
        <v>0</v>
      </c>
      <c r="BU12" s="121">
        <v>0</v>
      </c>
      <c r="BV12" s="121">
        <v>0</v>
      </c>
      <c r="BW12" s="121">
        <v>0</v>
      </c>
      <c r="BX12" s="121">
        <v>0</v>
      </c>
      <c r="BY12" s="121">
        <v>0</v>
      </c>
      <c r="BZ12" s="121">
        <v>0</v>
      </c>
      <c r="CA12" s="121">
        <v>0</v>
      </c>
      <c r="CB12" s="121">
        <v>6.9999999999999999E-6</v>
      </c>
      <c r="CC12" s="121">
        <v>0</v>
      </c>
      <c r="CD12" s="121">
        <v>0</v>
      </c>
      <c r="CE12" s="121">
        <v>0</v>
      </c>
      <c r="CF12" s="121">
        <v>0</v>
      </c>
      <c r="CG12" s="121">
        <v>0</v>
      </c>
      <c r="CH12" s="121">
        <v>0</v>
      </c>
      <c r="CI12" s="121">
        <v>0</v>
      </c>
      <c r="CJ12" s="121">
        <v>3.9999999999999998E-6</v>
      </c>
      <c r="CK12" s="121">
        <v>0</v>
      </c>
      <c r="CL12" s="121">
        <v>0</v>
      </c>
      <c r="CM12" s="121">
        <v>0</v>
      </c>
      <c r="CN12" s="122">
        <v>1</v>
      </c>
      <c r="CO12" s="122">
        <v>1</v>
      </c>
      <c r="CP12" s="122">
        <v>0</v>
      </c>
      <c r="CQ12" s="122">
        <v>0</v>
      </c>
      <c r="CR12" s="122">
        <v>0</v>
      </c>
      <c r="CS12" s="122">
        <v>0</v>
      </c>
      <c r="CT12" s="122">
        <v>0</v>
      </c>
      <c r="CU12" s="122">
        <v>0</v>
      </c>
      <c r="CV12" s="122">
        <v>0</v>
      </c>
      <c r="CW12" s="122">
        <v>0</v>
      </c>
      <c r="CX12" s="122">
        <v>0</v>
      </c>
      <c r="CY12" s="122">
        <v>0</v>
      </c>
      <c r="CZ12" s="122">
        <v>0</v>
      </c>
      <c r="DA12" s="122">
        <v>0</v>
      </c>
      <c r="DB12" s="122">
        <v>0</v>
      </c>
      <c r="DC12" s="122">
        <v>0</v>
      </c>
      <c r="DD12" s="122">
        <v>0</v>
      </c>
      <c r="DE12" s="122">
        <v>0</v>
      </c>
      <c r="DF12" s="122">
        <v>0</v>
      </c>
      <c r="DG12" s="122">
        <v>0</v>
      </c>
      <c r="DH12" s="122">
        <v>0</v>
      </c>
      <c r="DI12" s="122">
        <v>0</v>
      </c>
      <c r="DJ12" s="122">
        <v>0</v>
      </c>
      <c r="DK12" s="122">
        <v>0</v>
      </c>
      <c r="DL12" s="123">
        <v>1.4999999999999999E-2</v>
      </c>
      <c r="DM12" s="123">
        <v>0.05</v>
      </c>
      <c r="DN12" s="123">
        <v>0</v>
      </c>
      <c r="DO12" s="123">
        <v>0</v>
      </c>
      <c r="DP12" s="123">
        <v>0</v>
      </c>
      <c r="DQ12" s="123">
        <v>0</v>
      </c>
      <c r="DR12" s="123">
        <v>0</v>
      </c>
      <c r="DS12" s="123">
        <v>0</v>
      </c>
      <c r="DT12" s="123">
        <v>0</v>
      </c>
      <c r="DU12" s="123">
        <v>0</v>
      </c>
      <c r="DV12" s="123">
        <v>0</v>
      </c>
      <c r="DW12" s="123">
        <v>0</v>
      </c>
      <c r="DX12" s="123">
        <v>0</v>
      </c>
      <c r="DY12" s="123">
        <v>0</v>
      </c>
      <c r="DZ12" s="123">
        <v>0</v>
      </c>
      <c r="EA12" s="123">
        <v>0</v>
      </c>
      <c r="EB12" s="123">
        <v>0</v>
      </c>
      <c r="EC12" s="123">
        <v>0</v>
      </c>
      <c r="ED12" s="123">
        <v>0</v>
      </c>
      <c r="EE12" s="123">
        <v>0</v>
      </c>
      <c r="EF12" s="123">
        <v>0</v>
      </c>
      <c r="EG12" s="123">
        <v>0</v>
      </c>
      <c r="EH12" s="123">
        <v>0</v>
      </c>
      <c r="EI12" s="123">
        <v>0</v>
      </c>
      <c r="EJ12" s="123">
        <v>0</v>
      </c>
      <c r="EK12" s="123">
        <v>0</v>
      </c>
      <c r="EL12" s="123">
        <v>0</v>
      </c>
      <c r="EM12" s="123">
        <v>0</v>
      </c>
      <c r="EN12" s="123">
        <v>0</v>
      </c>
      <c r="EO12" s="123">
        <v>0</v>
      </c>
      <c r="EP12" s="123">
        <v>0</v>
      </c>
      <c r="EQ12" s="123">
        <v>0</v>
      </c>
      <c r="ER12" s="123">
        <v>0</v>
      </c>
      <c r="ES12" s="123">
        <v>0</v>
      </c>
      <c r="ET12" s="123">
        <v>0</v>
      </c>
      <c r="EU12" s="123">
        <v>0</v>
      </c>
      <c r="EV12" s="123">
        <v>0</v>
      </c>
      <c r="EW12" s="123">
        <v>0</v>
      </c>
      <c r="EX12" s="123">
        <v>0</v>
      </c>
      <c r="EY12" s="123">
        <v>0</v>
      </c>
      <c r="EZ12" s="123">
        <v>0</v>
      </c>
      <c r="FA12" s="123">
        <v>0</v>
      </c>
      <c r="FB12" s="123">
        <v>0</v>
      </c>
      <c r="FC12" s="123">
        <v>0</v>
      </c>
      <c r="FD12" s="123">
        <v>0</v>
      </c>
      <c r="FE12" s="123">
        <v>0</v>
      </c>
      <c r="FF12" s="123">
        <v>0</v>
      </c>
      <c r="FG12" s="123">
        <v>0</v>
      </c>
      <c r="FH12" s="22" t="s">
        <v>34</v>
      </c>
      <c r="FI12" s="104" t="s">
        <v>301</v>
      </c>
      <c r="FJ12" s="22" t="s">
        <v>34</v>
      </c>
      <c r="FK12" s="104" t="s">
        <v>302</v>
      </c>
      <c r="FL12" s="108" t="s">
        <v>34</v>
      </c>
      <c r="FM12" s="22" t="s">
        <v>34</v>
      </c>
      <c r="FN12" s="104"/>
      <c r="FO12" s="100">
        <v>42165</v>
      </c>
      <c r="FP12" s="104" t="str">
        <f>IF(Tabla1[[#This Row],[Clave Agip]]="","",+Tabla1[[#This Row],[Clave Agip]])</f>
        <v>Margarita2728</v>
      </c>
      <c r="FQ12" s="124" t="s">
        <v>34</v>
      </c>
      <c r="FR12" s="104">
        <f>+Tabla1[[#This Row],[CUIT]]</f>
        <v>27281829888</v>
      </c>
      <c r="FS12" s="104" t="str">
        <f>+Tabla1[[#This Row],[Clave Fiscal]]</f>
        <v>Margarita272818</v>
      </c>
      <c r="FT12" s="104" t="str">
        <f>+Tabla1[[#This Row],[Clave CIT]]</f>
        <v>Emm182988</v>
      </c>
      <c r="FU12" s="125" t="s">
        <v>261</v>
      </c>
      <c r="FV12" s="125" t="s">
        <v>261</v>
      </c>
      <c r="FW12" s="125" t="s">
        <v>261</v>
      </c>
      <c r="FX12" s="125" t="s">
        <v>261</v>
      </c>
      <c r="FY12" s="125" t="s">
        <v>261</v>
      </c>
      <c r="FZ12" s="125" t="s">
        <v>261</v>
      </c>
      <c r="GA12" s="125" t="s">
        <v>261</v>
      </c>
      <c r="GB12" s="125" t="s">
        <v>261</v>
      </c>
      <c r="GC12" s="125" t="s">
        <v>261</v>
      </c>
      <c r="GD12" s="125" t="s">
        <v>261</v>
      </c>
      <c r="GE12" s="125" t="s">
        <v>261</v>
      </c>
      <c r="GF12" s="126" t="s">
        <v>233</v>
      </c>
      <c r="GG12" s="127" t="s">
        <v>34</v>
      </c>
      <c r="GH12" s="128" t="s">
        <v>233</v>
      </c>
      <c r="GI12" s="126" t="s">
        <v>34</v>
      </c>
      <c r="GJ12" s="129"/>
      <c r="GK12" s="127" t="s">
        <v>34</v>
      </c>
      <c r="GL12" s="130" t="s">
        <v>303</v>
      </c>
      <c r="GM12" s="22" t="s">
        <v>34</v>
      </c>
      <c r="GN12" s="22" t="str">
        <f>"Buenas tardes "&amp;Tabla1[[#This Row],[Nombre]]&amp;", adjunto envió la deuda que nosotros vemos en el sistema acumulada hasta el 31/07/2024, al mismo tiempo te estamos mandando un Print de Pantalla para que visualicen el detalle de cada concepto si es que tenes DEUDA."&amp;" "&amp;"En "&amp;Tabla1[[#Headers],[Monot. / Autónomo]]&amp;" "&amp;+Tabla1[[#This Row],[Monot. / Autónomo]]&amp;"   ***    "&amp;" "&amp;"En "&amp;Tabla1[[#Headers],[Ingresos Brutos]]&amp;" "&amp;+Tabla1[[#This Row],[Ingresos Brutos]]&amp;"   ***    "&amp;"En "&amp;Tabla1[[#Headers],[AGIP]]&amp;" "&amp;+Tabla1[[#This Row],[AGIP]]&amp;"   ***    "&amp;"En "&amp;Tabla1[[#Headers],[SCT  IVA]]&amp;" "&amp;+Tabla1[[#This Row],[SCT  IVA]]&amp;"   ***    "&amp;"En "&amp;Tabla1[[#Headers],[SCT Empleados]]&amp;" "&amp;+Tabla1[[#This Row],[SCT Empleados]]&amp;"   ***    "&amp;"En "&amp;Tabla1[[#Headers],[SCT GCIA &amp; BP]]&amp;" "&amp;+Tabla1[[#This Row],[SCT GCIA &amp; BP]]&amp;"   ***    "&amp;"En "&amp;Tabla1[[#Headers],[SCT Contribución de Seg. Social]]&amp;" "&amp;+Tabla1[[#This Row],[SCT Contribución de Seg. Social]]&amp;"   ***    "&amp;"En "&amp;Tabla1[[#Headers],[Convenio]]&amp;" "&amp;+Tabla1[[#This Row],[Convenio]]&amp;"   ***    "&amp;"En "&amp;Tabla1[[#Headers],[Seg. e Higiene]]&amp;" "&amp;+Tabla1[[#This Row],[Seg. e Higiene]]&amp;"En "&amp;Tabla1[[#Headers],[Inmobiliario]]&amp;" "&amp;+Tabla1[[#This Row],[Inmobiliario]]&amp;"   ***    "&amp;"En "&amp;Tabla1[[#Headers],[Automotor]]&amp;" "&amp;+Tabla1[[#This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f>
        <v>Buenas tardes Margarita, adjunto envió la deuda que nosotros vemos en el sistema acumulada hasta el 31/07/2024, al mismo tiempo te estamos mandando un Print de Pantalla para que visualicen el detalle de cada concepto si es que tenes DEUDA. En Monot. / Autónomo ( Sin Deuda )   ***     En Ingresos Brutos ( Sin Deuda )   ***    En AGIP ( Sin Deuda )   ***    En SCT  IVA ( Sin Deuda )   ***    En SCT Empleados ( Sin Deuda )   ***    En SCT GCIA &amp; BP ( Sin Deuda )   ***    En SCT Contribución de Seg. Social ( Sin Deuda )   ***    En Convenio ( Sin Deuda )   ***    En Seg. e Higiene ( Sin Deuda )En Inmobiliario ( Sin Deuda )   ***    En Automotor ( Sin Deuda )   ***    .       En caso de querer pagar todo Junto nos envías un mail o por Whatapp el aviso y te enviaremos un VEP; En caso de querer meterlo en un Plan de Pagos nos deberías de avisar y nos contactaremos para decirte en cuantas cuotas se puede hacer. Sin más saluda atentamente Cdor. Mariano Morteo.  Muchas Gracias  (ESTE MAIL ES AUTOMATICO).</v>
      </c>
      <c r="GO12" s="108" t="s">
        <v>263</v>
      </c>
      <c r="GP12" s="22"/>
      <c r="GQ12" s="131" t="s">
        <v>264</v>
      </c>
    </row>
    <row r="13" spans="1:199" ht="15.75" thickBot="1" x14ac:dyDescent="0.3">
      <c r="A13" s="98">
        <v>107</v>
      </c>
      <c r="B13" s="99">
        <v>44754</v>
      </c>
      <c r="C13" s="152" t="s">
        <v>304</v>
      </c>
      <c r="D13" s="132" t="s">
        <v>305</v>
      </c>
      <c r="E13" s="102" t="str">
        <f>LEFT(Tabla1[[#This Row],[Clientes]],1)</f>
        <v>A</v>
      </c>
      <c r="F13" s="103"/>
      <c r="G13" s="104" t="s">
        <v>8</v>
      </c>
      <c r="H13" s="22" t="str">
        <f>VLOOKUP(Tabla1[[#This Row],[Clientes]],'[2]Facturacion 2025'!B$8:B$213,1,0)</f>
        <v>Alvarez Silvia Graciela</v>
      </c>
      <c r="I13" s="133" t="s">
        <v>267</v>
      </c>
      <c r="J13" s="153" t="s">
        <v>234</v>
      </c>
      <c r="K13" s="5">
        <v>27129766765</v>
      </c>
      <c r="L13" s="152" t="s">
        <v>306</v>
      </c>
      <c r="M13" s="154" t="s">
        <v>307</v>
      </c>
      <c r="N13" s="104" t="str">
        <f>+Tabla1[[#This Row],[Clientes]]</f>
        <v>ALVAREZ SILVIA GRACIELA</v>
      </c>
      <c r="O13" s="108" t="s">
        <v>34</v>
      </c>
      <c r="P13" s="107" t="str">
        <f>RIGHT(Tabla1[[#This Row],[CUIT]],1)</f>
        <v>5</v>
      </c>
      <c r="Q13" s="16" t="s">
        <v>2</v>
      </c>
      <c r="R13" s="104" t="s">
        <v>269</v>
      </c>
      <c r="S13" s="22" t="s">
        <v>34</v>
      </c>
      <c r="T13" s="108" t="s">
        <v>34</v>
      </c>
      <c r="U13" s="108" t="s">
        <v>34</v>
      </c>
      <c r="V13" s="136" t="s">
        <v>34</v>
      </c>
      <c r="W13" s="116">
        <v>12345678</v>
      </c>
      <c r="X13" s="155" t="s">
        <v>308</v>
      </c>
      <c r="Y13" s="104" t="s">
        <v>242</v>
      </c>
      <c r="Z13" s="22" t="s">
        <v>34</v>
      </c>
      <c r="AA13" s="120" t="s">
        <v>34</v>
      </c>
      <c r="AB13" s="120" t="s">
        <v>34</v>
      </c>
      <c r="AC13" s="111" t="s">
        <v>309</v>
      </c>
      <c r="AD13" t="s">
        <v>310</v>
      </c>
      <c r="AE13" s="156" t="s">
        <v>64</v>
      </c>
      <c r="AF13" s="118" t="s">
        <v>34</v>
      </c>
      <c r="AG13" s="157" t="s">
        <v>25</v>
      </c>
      <c r="AH13" s="158" t="s">
        <v>311</v>
      </c>
      <c r="AI13" s="158" t="s">
        <v>312</v>
      </c>
      <c r="AJ13" s="159" t="s">
        <v>313</v>
      </c>
      <c r="AK13" s="159" t="s">
        <v>272</v>
      </c>
      <c r="AL13" s="160">
        <v>20862</v>
      </c>
      <c r="AM13" s="161">
        <f>MONTH(Tabla1[[#This Row],[Fecha de Nacimiento]])</f>
        <v>2</v>
      </c>
      <c r="AN13" s="115" t="s">
        <v>248</v>
      </c>
      <c r="AO13" s="142" t="s">
        <v>34</v>
      </c>
      <c r="AP13" s="120" t="s">
        <v>34</v>
      </c>
      <c r="AQ13" s="143" t="s">
        <v>34</v>
      </c>
      <c r="AR13" s="22" t="s">
        <v>34</v>
      </c>
      <c r="AS13" s="22" t="s">
        <v>34</v>
      </c>
      <c r="AT13" s="22" t="s">
        <v>251</v>
      </c>
      <c r="AU13" s="116" t="s">
        <v>34</v>
      </c>
      <c r="AV13" s="104" t="s">
        <v>314</v>
      </c>
      <c r="AW13" s="22" t="s">
        <v>34</v>
      </c>
      <c r="AX13" s="22" t="s">
        <v>34</v>
      </c>
      <c r="AY13" s="22" t="s">
        <v>34</v>
      </c>
      <c r="AZ13" s="22" t="s">
        <v>34</v>
      </c>
      <c r="BA13" s="22" t="s">
        <v>34</v>
      </c>
      <c r="BB13" s="104" t="s">
        <v>315</v>
      </c>
      <c r="BC13" s="104" t="s">
        <v>316</v>
      </c>
      <c r="BD13" s="104" t="s">
        <v>317</v>
      </c>
      <c r="BE13" s="104" t="s">
        <v>255</v>
      </c>
      <c r="BF13" s="22" t="s">
        <v>34</v>
      </c>
      <c r="BG13" s="22" t="s">
        <v>34</v>
      </c>
      <c r="BH13" s="22" t="s">
        <v>34</v>
      </c>
      <c r="BI13" s="22" t="s">
        <v>34</v>
      </c>
      <c r="BJ13" s="104">
        <v>5</v>
      </c>
      <c r="BK13" s="104">
        <v>6</v>
      </c>
      <c r="BL13" s="104">
        <v>7</v>
      </c>
      <c r="BM13" s="104">
        <v>8</v>
      </c>
      <c r="BN13" s="104" t="s">
        <v>277</v>
      </c>
      <c r="BO13" s="22" t="s">
        <v>34</v>
      </c>
      <c r="BP13" s="121">
        <v>0</v>
      </c>
      <c r="BQ13" s="121">
        <v>0.01</v>
      </c>
      <c r="BR13" s="121">
        <v>0</v>
      </c>
      <c r="BS13" s="121">
        <v>0</v>
      </c>
      <c r="BT13" s="121">
        <v>0</v>
      </c>
      <c r="BU13" s="121">
        <v>0</v>
      </c>
      <c r="BV13" s="121">
        <v>0</v>
      </c>
      <c r="BW13" s="121">
        <v>0</v>
      </c>
      <c r="BX13" s="121">
        <v>0</v>
      </c>
      <c r="BY13" s="121">
        <v>0</v>
      </c>
      <c r="BZ13" s="121">
        <v>0</v>
      </c>
      <c r="CA13" s="121">
        <v>0</v>
      </c>
      <c r="CB13" s="121">
        <v>0</v>
      </c>
      <c r="CC13" s="121">
        <v>0</v>
      </c>
      <c r="CD13" s="121">
        <v>0</v>
      </c>
      <c r="CE13" s="121">
        <v>0</v>
      </c>
      <c r="CF13" s="121">
        <v>0</v>
      </c>
      <c r="CG13" s="121">
        <v>0</v>
      </c>
      <c r="CH13" s="121">
        <v>0</v>
      </c>
      <c r="CI13" s="121">
        <v>0</v>
      </c>
      <c r="CJ13" s="121">
        <v>0</v>
      </c>
      <c r="CK13" s="121">
        <v>0</v>
      </c>
      <c r="CL13" s="121">
        <v>0</v>
      </c>
      <c r="CM13" s="121">
        <v>0</v>
      </c>
      <c r="CN13" s="122">
        <v>1</v>
      </c>
      <c r="CO13" s="122">
        <v>14</v>
      </c>
      <c r="CP13" s="122">
        <v>1</v>
      </c>
      <c r="CQ13" s="122">
        <v>1</v>
      </c>
      <c r="CR13" s="122">
        <v>1</v>
      </c>
      <c r="CS13" s="122">
        <v>1</v>
      </c>
      <c r="CT13" s="122">
        <v>1</v>
      </c>
      <c r="CU13" s="122">
        <v>1</v>
      </c>
      <c r="CV13" s="122">
        <v>1</v>
      </c>
      <c r="CW13" s="122">
        <v>1</v>
      </c>
      <c r="CX13" s="122">
        <v>1</v>
      </c>
      <c r="CY13" s="122">
        <v>1</v>
      </c>
      <c r="CZ13" s="122">
        <v>1</v>
      </c>
      <c r="DA13" s="122">
        <v>1</v>
      </c>
      <c r="DB13" s="122">
        <v>1</v>
      </c>
      <c r="DC13" s="122">
        <v>1</v>
      </c>
      <c r="DD13" s="122">
        <v>1</v>
      </c>
      <c r="DE13" s="122">
        <v>1</v>
      </c>
      <c r="DF13" s="122">
        <v>1</v>
      </c>
      <c r="DG13" s="122">
        <v>1</v>
      </c>
      <c r="DH13" s="122">
        <v>1</v>
      </c>
      <c r="DI13" s="122">
        <v>1</v>
      </c>
      <c r="DJ13" s="122">
        <v>1</v>
      </c>
      <c r="DK13" s="122">
        <v>1</v>
      </c>
      <c r="DL13" s="123">
        <v>0</v>
      </c>
      <c r="DM13" s="123">
        <v>0</v>
      </c>
      <c r="DN13" s="123">
        <v>0</v>
      </c>
      <c r="DO13" s="123">
        <v>0</v>
      </c>
      <c r="DP13" s="123">
        <v>0</v>
      </c>
      <c r="DQ13" s="123">
        <v>0</v>
      </c>
      <c r="DR13" s="123">
        <v>0</v>
      </c>
      <c r="DS13" s="123">
        <v>0</v>
      </c>
      <c r="DT13" s="123">
        <v>0</v>
      </c>
      <c r="DU13" s="123">
        <v>0</v>
      </c>
      <c r="DV13" s="123">
        <v>0</v>
      </c>
      <c r="DW13" s="123">
        <v>0</v>
      </c>
      <c r="DX13" s="123">
        <v>0</v>
      </c>
      <c r="DY13" s="123">
        <v>0</v>
      </c>
      <c r="DZ13" s="123">
        <v>0</v>
      </c>
      <c r="EA13" s="123">
        <v>0</v>
      </c>
      <c r="EB13" s="123">
        <v>0</v>
      </c>
      <c r="EC13" s="123">
        <v>0</v>
      </c>
      <c r="ED13" s="123">
        <v>0</v>
      </c>
      <c r="EE13" s="123">
        <v>0</v>
      </c>
      <c r="EF13" s="123">
        <v>0</v>
      </c>
      <c r="EG13" s="123">
        <v>0</v>
      </c>
      <c r="EH13" s="123">
        <v>0</v>
      </c>
      <c r="EI13" s="123">
        <v>0</v>
      </c>
      <c r="EJ13" s="123">
        <v>0</v>
      </c>
      <c r="EK13" s="123">
        <v>0</v>
      </c>
      <c r="EL13" s="123">
        <v>0</v>
      </c>
      <c r="EM13" s="123">
        <v>0</v>
      </c>
      <c r="EN13" s="123">
        <v>0</v>
      </c>
      <c r="EO13" s="123">
        <v>0</v>
      </c>
      <c r="EP13" s="123">
        <v>0</v>
      </c>
      <c r="EQ13" s="123">
        <v>0</v>
      </c>
      <c r="ER13" s="123">
        <v>0</v>
      </c>
      <c r="ES13" s="123">
        <v>0</v>
      </c>
      <c r="ET13" s="123">
        <v>0</v>
      </c>
      <c r="EU13" s="123">
        <v>0</v>
      </c>
      <c r="EV13" s="123">
        <v>0</v>
      </c>
      <c r="EW13" s="123">
        <v>0</v>
      </c>
      <c r="EX13" s="123">
        <v>0</v>
      </c>
      <c r="EY13" s="123">
        <v>0</v>
      </c>
      <c r="EZ13" s="123">
        <v>0</v>
      </c>
      <c r="FA13" s="123">
        <v>0</v>
      </c>
      <c r="FB13" s="123">
        <v>0</v>
      </c>
      <c r="FC13" s="123">
        <v>0</v>
      </c>
      <c r="FD13" s="123">
        <v>0</v>
      </c>
      <c r="FE13" s="123">
        <v>0</v>
      </c>
      <c r="FF13" s="123">
        <v>0</v>
      </c>
      <c r="FG13" s="123">
        <v>0</v>
      </c>
      <c r="FH13" s="22" t="s">
        <v>34</v>
      </c>
      <c r="FI13" s="22" t="s">
        <v>34</v>
      </c>
      <c r="FJ13" s="22" t="s">
        <v>34</v>
      </c>
      <c r="FK13" s="22" t="s">
        <v>34</v>
      </c>
      <c r="FL13" s="108" t="s">
        <v>34</v>
      </c>
      <c r="FM13" s="22" t="s">
        <v>34</v>
      </c>
      <c r="FN13" s="22"/>
      <c r="FO13" s="22" t="s">
        <v>34</v>
      </c>
      <c r="FP13" s="104" t="str">
        <f>IF(Tabla1[[#This Row],[Clave Agip]]="","",+Tabla1[[#This Row],[Clave Agip]])</f>
        <v/>
      </c>
      <c r="FQ13" s="124" t="s">
        <v>34</v>
      </c>
      <c r="FR13" s="104">
        <f>+Tabla1[[#This Row],[CUIT]]</f>
        <v>27129766765</v>
      </c>
      <c r="FS13" s="104" t="str">
        <f>+Tabla1[[#This Row],[Clave Fiscal]]</f>
        <v>Silvia2712</v>
      </c>
      <c r="FT13" s="104" t="str">
        <f>+Tabla1[[#This Row],[Clave CIT]]</f>
        <v>Silvia271297</v>
      </c>
      <c r="FU13" s="125" t="s">
        <v>261</v>
      </c>
      <c r="FV13" s="125" t="s">
        <v>261</v>
      </c>
      <c r="FW13" s="125">
        <v>58605</v>
      </c>
      <c r="FX13" s="125">
        <v>32990.480000000003</v>
      </c>
      <c r="FY13" s="125" t="s">
        <v>261</v>
      </c>
      <c r="FZ13" s="125" t="s">
        <v>261</v>
      </c>
      <c r="GA13" s="125" t="s">
        <v>261</v>
      </c>
      <c r="GB13" s="125" t="s">
        <v>261</v>
      </c>
      <c r="GC13" s="125" t="s">
        <v>261</v>
      </c>
      <c r="GD13" s="125" t="s">
        <v>261</v>
      </c>
      <c r="GE13" s="125" t="s">
        <v>261</v>
      </c>
      <c r="GF13" s="126" t="s">
        <v>318</v>
      </c>
      <c r="GG13" s="128">
        <v>20541352.560000002</v>
      </c>
      <c r="GH13" s="128" t="s">
        <v>278</v>
      </c>
      <c r="GI13" s="128" t="s">
        <v>279</v>
      </c>
      <c r="GJ13" s="146">
        <v>61344854</v>
      </c>
      <c r="GK13" s="130">
        <v>5112071</v>
      </c>
      <c r="GL13" s="128" t="s">
        <v>319</v>
      </c>
      <c r="GM13"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Nuchi (x Silvia), adjunto envío la deuda al 30/04/2024, si no tenes deuda figura (sin deuda), al mismo tiempo les estamos mandando un PDF para que visualicen su deuda  y el detalle de cada concepto. En Deuda Monotributo / Autónomo $ 32990.48. En Deuda     Ingresos Brutos $ ( Sin Deuda ). En Deuda     Inmobiliario $ ( Sin Deuda ). En Deuda     Automotor $ 58605. En caso de querer pagar todo Junto nos envían un mail o por Whatapp el aviso y les enviaremos un VEP; En caso de querer meterlo en un Plan de Pagos nos deberían de avisar y nos contactaremos para decirles en cuantas cuotas se puede hacer.     Te paso también la Clave de Afip     Silvia2712     y la clave de ARBA(cit)      Silvia271297     para que las tengas Actualizadas. Abrazos. Sin mas saluda atentamente   Cdor. Mariano Morteo. (ESTE MAIL ES AUTOMATICO)</v>
      </c>
      <c r="GN13" s="22" t="s">
        <v>34</v>
      </c>
      <c r="GO13" s="162" t="s">
        <v>281</v>
      </c>
      <c r="GP13"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Nuchi (x Silvia),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'C' y El monto facturado durante 2024-06a 2025-06 fue de $ 20541352.56 lo que te dejo luego de LA RECATEGORIZACIÓN en la CATEGORÍA 'D' Tu ACTIVIDAD es de 'Servicios' lo que hace que tu categoría máxima sea la 'H' pudiendo facturar un máximo anual de $ 61344854 este monto te permitirá facturar un promedio de $ 5112071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 Sin Deuda ) AUTOMOTOR $ 58605 MONOTRIBUTO $ 32990.48 Cualquier duda que tengas, te pido te comuniques con nosotros para acláratelas. Muchas Gracias.          Te paso también la Clave de Afip     Silvia2712     y la clave de ARBA(cit)      Silvia271297     para que las tengas Actualizadas, si te pide cambiarlas avísanos por favor. Abrazos            ((ESTE ES UN MENSAJE AUTOMATICO))</v>
      </c>
      <c r="GQ13" s="131" t="s">
        <v>264</v>
      </c>
    </row>
    <row r="14" spans="1:199" x14ac:dyDescent="0.25">
      <c r="A14" s="98">
        <v>108</v>
      </c>
      <c r="B14" s="99">
        <v>44896</v>
      </c>
      <c r="C14" s="152" t="s">
        <v>320</v>
      </c>
      <c r="D14" s="101" t="s">
        <v>321</v>
      </c>
      <c r="E14" s="102" t="str">
        <f>LEFT(Tabla1[[#This Row],[Clientes]],1)</f>
        <v>A</v>
      </c>
      <c r="F14" s="103"/>
      <c r="G14" s="104" t="s">
        <v>22</v>
      </c>
      <c r="H14" s="22" t="str">
        <f>VLOOKUP(Tabla1[[#This Row],[Clientes]],'[2]Facturacion 2025'!B$8:B$213,1,0)</f>
        <v>ANALIX S.A.</v>
      </c>
      <c r="I14" s="105" t="s">
        <v>233</v>
      </c>
      <c r="J14" s="98">
        <v>27251063805</v>
      </c>
      <c r="K14" s="5">
        <v>30717854442</v>
      </c>
      <c r="L14" s="104" t="s">
        <v>322</v>
      </c>
      <c r="M14" s="145" t="s">
        <v>322</v>
      </c>
      <c r="N14" s="104" t="str">
        <f>+Tabla1[[#This Row],[Clientes]]</f>
        <v>ANALIX S.A.</v>
      </c>
      <c r="O14" s="98" t="s">
        <v>322</v>
      </c>
      <c r="P14" s="107" t="str">
        <f>RIGHT(Tabla1[[#This Row],[CUIT]],1)</f>
        <v>2</v>
      </c>
      <c r="Q14" s="163" t="s">
        <v>16</v>
      </c>
      <c r="R14" s="104" t="s">
        <v>238</v>
      </c>
      <c r="S14" s="164" t="s">
        <v>323</v>
      </c>
      <c r="T14" s="165">
        <v>101343100</v>
      </c>
      <c r="U14" s="166" t="s">
        <v>322</v>
      </c>
      <c r="V14" s="5" t="s">
        <v>281</v>
      </c>
      <c r="W14" s="167" t="s">
        <v>34</v>
      </c>
      <c r="X14" s="168" t="s">
        <v>324</v>
      </c>
      <c r="Y14" s="104" t="s">
        <v>242</v>
      </c>
      <c r="Z14" s="104" t="s">
        <v>322</v>
      </c>
      <c r="AA14" s="118" t="s">
        <v>34</v>
      </c>
      <c r="AB14" s="118" t="s">
        <v>34</v>
      </c>
      <c r="AC14" s="111" t="s">
        <v>325</v>
      </c>
      <c r="AD14" t="s">
        <v>34</v>
      </c>
      <c r="AE14" s="118" t="s">
        <v>34</v>
      </c>
      <c r="AF14" s="118" t="s">
        <v>34</v>
      </c>
      <c r="AG14" s="169" t="s">
        <v>34</v>
      </c>
      <c r="AH14" s="170" t="s">
        <v>34</v>
      </c>
      <c r="AI14" s="170" t="s">
        <v>34</v>
      </c>
      <c r="AJ14" s="170" t="s">
        <v>34</v>
      </c>
      <c r="AK14" s="115" t="s">
        <v>247</v>
      </c>
      <c r="AL14" s="171"/>
      <c r="AM14" s="172">
        <f>MONTH(Tabla1[[#This Row],[Fecha de Nacimiento]])</f>
        <v>1</v>
      </c>
      <c r="AN14" s="115" t="s">
        <v>248</v>
      </c>
      <c r="AO14" s="173" t="s">
        <v>326</v>
      </c>
      <c r="AP14" s="156" t="s">
        <v>327</v>
      </c>
      <c r="AQ14" s="118" t="s">
        <v>34</v>
      </c>
      <c r="AR14" s="118" t="s">
        <v>34</v>
      </c>
      <c r="AS14" s="104" t="s">
        <v>328</v>
      </c>
      <c r="AT14" s="22" t="s">
        <v>251</v>
      </c>
      <c r="AU14" s="174" t="s">
        <v>34</v>
      </c>
      <c r="AV14" s="167" t="s">
        <v>329</v>
      </c>
      <c r="AW14" s="118" t="s">
        <v>34</v>
      </c>
      <c r="AX14" s="115" t="str">
        <f>LEFT(Tabla1[[#This Row],[ACTIVIDAD AFIP PRINCIPAL]],6)</f>
        <v>561019</v>
      </c>
      <c r="AY14" s="170" t="s">
        <v>34</v>
      </c>
      <c r="AZ14" s="115">
        <v>2</v>
      </c>
      <c r="BA14" s="115">
        <v>0</v>
      </c>
      <c r="BB14" s="159" t="s">
        <v>330</v>
      </c>
      <c r="BC14" s="170" t="s">
        <v>34</v>
      </c>
      <c r="BD14" s="104" t="s">
        <v>317</v>
      </c>
      <c r="BE14" s="104" t="s">
        <v>255</v>
      </c>
      <c r="BF14" s="156" t="s">
        <v>331</v>
      </c>
      <c r="BG14" s="156" t="s">
        <v>332</v>
      </c>
      <c r="BH14" s="156" t="s">
        <v>333</v>
      </c>
      <c r="BI14" s="118" t="s">
        <v>34</v>
      </c>
      <c r="BJ14" s="104">
        <v>5</v>
      </c>
      <c r="BK14" s="104">
        <v>6</v>
      </c>
      <c r="BL14" s="104">
        <v>7</v>
      </c>
      <c r="BM14" s="104">
        <v>8</v>
      </c>
      <c r="BN14" s="104" t="s">
        <v>277</v>
      </c>
      <c r="BO14" s="118" t="s">
        <v>34</v>
      </c>
      <c r="BP14" s="121">
        <v>2.6210000000000001E-3</v>
      </c>
      <c r="BQ14" s="121">
        <v>7.3790000000000001E-3</v>
      </c>
      <c r="BR14" s="121">
        <v>0</v>
      </c>
      <c r="BS14" s="121">
        <v>0</v>
      </c>
      <c r="BT14" s="121">
        <v>0</v>
      </c>
      <c r="BU14" s="121">
        <v>0</v>
      </c>
      <c r="BV14" s="121">
        <v>0</v>
      </c>
      <c r="BW14" s="121">
        <v>0</v>
      </c>
      <c r="BX14" s="121">
        <v>0</v>
      </c>
      <c r="BY14" s="121">
        <v>0</v>
      </c>
      <c r="BZ14" s="121">
        <v>0</v>
      </c>
      <c r="CA14" s="121">
        <v>0</v>
      </c>
      <c r="CB14" s="121">
        <v>0</v>
      </c>
      <c r="CC14" s="121">
        <v>0</v>
      </c>
      <c r="CD14" s="121">
        <v>0</v>
      </c>
      <c r="CE14" s="121">
        <v>0</v>
      </c>
      <c r="CF14" s="121">
        <v>0</v>
      </c>
      <c r="CG14" s="121">
        <v>0</v>
      </c>
      <c r="CH14" s="121">
        <v>0</v>
      </c>
      <c r="CI14" s="121">
        <v>0</v>
      </c>
      <c r="CJ14" s="121">
        <v>0</v>
      </c>
      <c r="CK14" s="121">
        <v>0</v>
      </c>
      <c r="CL14" s="121">
        <v>0</v>
      </c>
      <c r="CM14" s="121">
        <v>0</v>
      </c>
      <c r="CN14" s="122">
        <v>1</v>
      </c>
      <c r="CO14" s="122">
        <v>1</v>
      </c>
      <c r="CP14" s="122">
        <v>0</v>
      </c>
      <c r="CQ14" s="122">
        <v>0</v>
      </c>
      <c r="CR14" s="122">
        <v>0</v>
      </c>
      <c r="CS14" s="122">
        <v>0</v>
      </c>
      <c r="CT14" s="122">
        <v>0</v>
      </c>
      <c r="CU14" s="122">
        <v>0</v>
      </c>
      <c r="CV14" s="122">
        <v>0</v>
      </c>
      <c r="CW14" s="122">
        <v>0</v>
      </c>
      <c r="CX14" s="122">
        <v>0</v>
      </c>
      <c r="CY14" s="122">
        <v>0</v>
      </c>
      <c r="CZ14" s="122">
        <v>0</v>
      </c>
      <c r="DA14" s="122">
        <v>0</v>
      </c>
      <c r="DB14" s="122">
        <v>0</v>
      </c>
      <c r="DC14" s="122">
        <v>0</v>
      </c>
      <c r="DD14" s="122">
        <v>0</v>
      </c>
      <c r="DE14" s="122">
        <v>0</v>
      </c>
      <c r="DF14" s="122">
        <v>0</v>
      </c>
      <c r="DG14" s="122">
        <v>0</v>
      </c>
      <c r="DH14" s="122">
        <v>0</v>
      </c>
      <c r="DI14" s="122">
        <v>0</v>
      </c>
      <c r="DJ14" s="122">
        <v>0</v>
      </c>
      <c r="DK14" s="122">
        <v>0</v>
      </c>
      <c r="DL14" s="123">
        <v>0.03</v>
      </c>
      <c r="DM14" s="123">
        <v>0.04</v>
      </c>
      <c r="DN14" s="123">
        <v>0</v>
      </c>
      <c r="DO14" s="123">
        <v>0</v>
      </c>
      <c r="DP14" s="123">
        <v>0</v>
      </c>
      <c r="DQ14" s="123">
        <v>0</v>
      </c>
      <c r="DR14" s="123">
        <v>0</v>
      </c>
      <c r="DS14" s="123">
        <v>0</v>
      </c>
      <c r="DT14" s="123">
        <v>0</v>
      </c>
      <c r="DU14" s="123">
        <v>0</v>
      </c>
      <c r="DV14" s="123">
        <v>0</v>
      </c>
      <c r="DW14" s="123">
        <v>0</v>
      </c>
      <c r="DX14" s="123">
        <v>0</v>
      </c>
      <c r="DY14" s="123">
        <v>0</v>
      </c>
      <c r="DZ14" s="123">
        <v>0</v>
      </c>
      <c r="EA14" s="123">
        <v>0</v>
      </c>
      <c r="EB14" s="123">
        <v>0</v>
      </c>
      <c r="EC14" s="123">
        <v>0</v>
      </c>
      <c r="ED14" s="123">
        <v>0</v>
      </c>
      <c r="EE14" s="123">
        <v>0</v>
      </c>
      <c r="EF14" s="123">
        <v>0</v>
      </c>
      <c r="EG14" s="123">
        <v>0</v>
      </c>
      <c r="EH14" s="123">
        <v>0</v>
      </c>
      <c r="EI14" s="123">
        <v>0</v>
      </c>
      <c r="EJ14" s="123">
        <v>0</v>
      </c>
      <c r="EK14" s="123">
        <v>0</v>
      </c>
      <c r="EL14" s="123">
        <v>0</v>
      </c>
      <c r="EM14" s="123">
        <v>0</v>
      </c>
      <c r="EN14" s="123">
        <v>0</v>
      </c>
      <c r="EO14" s="123">
        <v>0</v>
      </c>
      <c r="EP14" s="123">
        <v>0</v>
      </c>
      <c r="EQ14" s="123">
        <v>0</v>
      </c>
      <c r="ER14" s="123">
        <v>0</v>
      </c>
      <c r="ES14" s="123">
        <v>0</v>
      </c>
      <c r="ET14" s="123">
        <v>0</v>
      </c>
      <c r="EU14" s="123">
        <v>0</v>
      </c>
      <c r="EV14" s="123">
        <v>0</v>
      </c>
      <c r="EW14" s="123">
        <v>0</v>
      </c>
      <c r="EX14" s="123">
        <v>0</v>
      </c>
      <c r="EY14" s="123">
        <v>0</v>
      </c>
      <c r="EZ14" s="123">
        <v>0</v>
      </c>
      <c r="FA14" s="123">
        <v>0</v>
      </c>
      <c r="FB14" s="123">
        <v>0</v>
      </c>
      <c r="FC14" s="123">
        <v>0</v>
      </c>
      <c r="FD14" s="123">
        <v>0</v>
      </c>
      <c r="FE14" s="123">
        <v>0</v>
      </c>
      <c r="FF14" s="123">
        <v>0</v>
      </c>
      <c r="FG14" s="123">
        <v>0</v>
      </c>
      <c r="FH14" s="118" t="s">
        <v>34</v>
      </c>
      <c r="FI14" s="118" t="s">
        <v>34</v>
      </c>
      <c r="FJ14" s="118" t="s">
        <v>34</v>
      </c>
      <c r="FK14" s="118" t="s">
        <v>34</v>
      </c>
      <c r="FL14" s="175" t="s">
        <v>34</v>
      </c>
      <c r="FM14" s="118" t="s">
        <v>34</v>
      </c>
      <c r="FN14" s="118"/>
      <c r="FO14" s="118" t="s">
        <v>34</v>
      </c>
      <c r="FP14" s="104" t="str">
        <f>IF(Tabla1[[#This Row],[Clave Agip]]="","",+Tabla1[[#This Row],[Clave Agip]])</f>
        <v>Analia272510</v>
      </c>
      <c r="FQ14" s="124" t="s">
        <v>34</v>
      </c>
      <c r="FR14" s="104">
        <f>+Tabla1[[#This Row],[CUIT]]</f>
        <v>30717854442</v>
      </c>
      <c r="FS14" s="104" t="str">
        <f>+Tabla1[[#This Row],[Clave Fiscal]]</f>
        <v>Analia272510</v>
      </c>
      <c r="FT14" s="104" t="str">
        <f>+Tabla1[[#This Row],[Clave CIT]]</f>
        <v>Analia272510</v>
      </c>
      <c r="FU14" s="125" t="s">
        <v>261</v>
      </c>
      <c r="FV14" s="125" t="s">
        <v>261</v>
      </c>
      <c r="FW14" s="125" t="s">
        <v>261</v>
      </c>
      <c r="FX14" s="125" t="s">
        <v>261</v>
      </c>
      <c r="FY14" s="125" t="s">
        <v>261</v>
      </c>
      <c r="FZ14" s="125" t="s">
        <v>261</v>
      </c>
      <c r="GA14" s="125" t="s">
        <v>261</v>
      </c>
      <c r="GB14" s="125" t="s">
        <v>261</v>
      </c>
      <c r="GC14" s="125" t="s">
        <v>261</v>
      </c>
      <c r="GD14" s="125" t="s">
        <v>261</v>
      </c>
      <c r="GE14" s="176" t="s">
        <v>334</v>
      </c>
      <c r="GF14" s="126" t="s">
        <v>233</v>
      </c>
      <c r="GG14" s="127" t="s">
        <v>34</v>
      </c>
      <c r="GH14" s="128" t="s">
        <v>233</v>
      </c>
      <c r="GI14" s="126" t="s">
        <v>34</v>
      </c>
      <c r="GJ14" s="177" t="s">
        <v>34</v>
      </c>
      <c r="GK14" s="127" t="s">
        <v>34</v>
      </c>
      <c r="GL14" s="130" t="s">
        <v>335</v>
      </c>
      <c r="GM14" s="22" t="s">
        <v>34</v>
      </c>
      <c r="GN14" s="22" t="str">
        <f>"Buenas tardes "&amp;Tabla1[[#This Row],[Nombre]]&amp;", adjunto envió la deuda que nosotros vemos en el sistema acumulada hasta el 31/07/2024, al mismo tiempo te estamos mandando un Print de Pantalla para que visualicen el detalle de cada concepto si es que tenes DEUDA."&amp;" "&amp;"En "&amp;Tabla1[[#Headers],[Monot. / Autónomo]]&amp;" "&amp;+Tabla1[[#This Row],[Monot. / Autónomo]]&amp;"   ***    "&amp;" "&amp;"En "&amp;Tabla1[[#Headers],[Ingresos Brutos]]&amp;" "&amp;+Tabla1[[#This Row],[Ingresos Brutos]]&amp;"   ***    "&amp;"En "&amp;Tabla1[[#Headers],[AGIP]]&amp;" "&amp;+Tabla1[[#This Row],[AGIP]]&amp;"   ***    "&amp;"En "&amp;Tabla1[[#Headers],[SCT  IVA]]&amp;" "&amp;+Tabla1[[#This Row],[SCT  IVA]]&amp;"   ***    "&amp;"En "&amp;Tabla1[[#Headers],[SCT Empleados]]&amp;" "&amp;+Tabla1[[#This Row],[SCT Empleados]]&amp;"   ***    "&amp;"En "&amp;Tabla1[[#Headers],[SCT GCIA &amp; BP]]&amp;" "&amp;+Tabla1[[#This Row],[SCT GCIA &amp; BP]]&amp;"   ***    "&amp;"En "&amp;Tabla1[[#Headers],[SCT Contribución de Seg. Social]]&amp;" "&amp;+Tabla1[[#This Row],[SCT Contribución de Seg. Social]]&amp;"   ***    "&amp;"En "&amp;Tabla1[[#Headers],[Convenio]]&amp;" "&amp;+Tabla1[[#This Row],[Convenio]]&amp;"   ***    "&amp;"En "&amp;Tabla1[[#Headers],[Seg. e Higiene]]&amp;" "&amp;+Tabla1[[#This Row],[Seg. e Higiene]]&amp;"En "&amp;Tabla1[[#Headers],[Inmobiliario]]&amp;" "&amp;+Tabla1[[#This Row],[Inmobiliario]]&amp;"   ***    "&amp;"En "&amp;Tabla1[[#Headers],[Automotor]]&amp;" "&amp;+Tabla1[[#This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f>
        <v>Buenas tardes Ana/Félix (x Analix S.A.), adjunto envió la deuda que nosotros vemos en el sistema acumulada hasta el 31/07/2024, al mismo tiempo te estamos mandando un Print de Pantalla para que visualicen el detalle de cada concepto si es que tenes DEUDA. En Monot. / Autónomo ( Sin Deuda )   ***     En Ingresos Brutos ( Sin Deuda )   ***    En AGIP ( Sin Deuda )   ***    En SCT  IVA ( Sin Deuda )   ***    En SCT Empleados ( Sin Deuda )   ***    En SCT GCIA &amp; BP ( Sin Deuda )   ***    En SCT Contribución de Seg. Social ( Sin Deuda )   ***    En Convenio ( Sin Deuda )   ***    En Seg. e Higiene (Deuda de 692618,30, condonacion 30% deuda 574798,81 CONTADO Ó 3 PAGOS )En Inmobiliario ( Sin Deuda )   ***    En Automotor ( Sin Deuda )   ***    .       En caso de querer pagar todo Junto nos envías un mail o por Whatapp el aviso y te enviaremos un VEP; En caso de querer meterlo en un Plan de Pagos nos deberías de avisar y nos contactaremos para decirte en cuantas cuotas se puede hacer. Sin más saluda atentamente Cdor. Mariano Morteo.  Muchas Gracias  (ESTE MAIL ES AUTOMATICO).</v>
      </c>
      <c r="GO14" s="108" t="s">
        <v>263</v>
      </c>
      <c r="GP14" s="22"/>
      <c r="GQ14" s="131" t="s">
        <v>264</v>
      </c>
    </row>
    <row r="15" spans="1:199" ht="15.75" thickBot="1" x14ac:dyDescent="0.3">
      <c r="A15" s="98">
        <v>109</v>
      </c>
      <c r="B15" s="99">
        <v>44868</v>
      </c>
      <c r="C15" s="152" t="s">
        <v>231</v>
      </c>
      <c r="D15" s="101" t="s">
        <v>336</v>
      </c>
      <c r="E15" s="102" t="str">
        <f>LEFT(Tabla1[[#This Row],[Clientes]],1)</f>
        <v>A</v>
      </c>
      <c r="F15" s="103"/>
      <c r="G15" s="104" t="s">
        <v>8</v>
      </c>
      <c r="H15" s="22" t="str">
        <f>VLOOKUP(Tabla1[[#This Row],[Clientes]],'[2]Facturacion 2025'!B$8:B$213,1,0)</f>
        <v>Araoz Lidia Eudosia</v>
      </c>
      <c r="I15" s="133" t="s">
        <v>251</v>
      </c>
      <c r="J15" s="106" t="s">
        <v>284</v>
      </c>
      <c r="K15" s="5">
        <v>27958350436</v>
      </c>
      <c r="L15" s="178" t="s">
        <v>337</v>
      </c>
      <c r="M15" s="179" t="s">
        <v>338</v>
      </c>
      <c r="N15" s="104" t="str">
        <f>+Tabla1[[#This Row],[Clientes]]</f>
        <v>ARAOZ LIDIA EUDOSIA</v>
      </c>
      <c r="O15" s="108" t="s">
        <v>34</v>
      </c>
      <c r="P15" s="107" t="str">
        <f>RIGHT(Tabla1[[#This Row],[CUIT]],1)</f>
        <v>6</v>
      </c>
      <c r="Q15" s="28" t="s">
        <v>16</v>
      </c>
      <c r="R15" s="104" t="s">
        <v>269</v>
      </c>
      <c r="S15" s="180" t="s">
        <v>34</v>
      </c>
      <c r="T15" s="108" t="s">
        <v>34</v>
      </c>
      <c r="U15" s="167" t="s">
        <v>34</v>
      </c>
      <c r="V15" s="136" t="s">
        <v>34</v>
      </c>
      <c r="W15" s="181">
        <v>12345678</v>
      </c>
      <c r="X15" s="182" t="s">
        <v>339</v>
      </c>
      <c r="Y15" s="104" t="s">
        <v>242</v>
      </c>
      <c r="Z15" s="118" t="s">
        <v>34</v>
      </c>
      <c r="AA15" s="156" t="s">
        <v>340</v>
      </c>
      <c r="AB15" s="156" t="s">
        <v>340</v>
      </c>
      <c r="AC15" s="111" t="s">
        <v>341</v>
      </c>
      <c r="AD15" t="s">
        <v>34</v>
      </c>
      <c r="AE15" s="118" t="s">
        <v>34</v>
      </c>
      <c r="AF15" s="118" t="s">
        <v>34</v>
      </c>
      <c r="AG15" s="112" t="s">
        <v>25</v>
      </c>
      <c r="AH15" s="170" t="s">
        <v>34</v>
      </c>
      <c r="AI15" s="170" t="s">
        <v>34</v>
      </c>
      <c r="AJ15" s="118" t="s">
        <v>34</v>
      </c>
      <c r="AK15" s="159" t="s">
        <v>247</v>
      </c>
      <c r="AL15" s="183">
        <v>34113</v>
      </c>
      <c r="AM15" s="175">
        <f>MONTH(Tabla1[[#This Row],[Fecha de Nacimiento]])</f>
        <v>5</v>
      </c>
      <c r="AN15" s="115" t="s">
        <v>248</v>
      </c>
      <c r="AO15" s="116" t="s">
        <v>342</v>
      </c>
      <c r="AP15" s="118" t="s">
        <v>34</v>
      </c>
      <c r="AQ15" s="118" t="s">
        <v>34</v>
      </c>
      <c r="AR15" s="118" t="s">
        <v>34</v>
      </c>
      <c r="AS15" s="118" t="s">
        <v>34</v>
      </c>
      <c r="AT15" s="22" t="s">
        <v>251</v>
      </c>
      <c r="AU15" s="174" t="s">
        <v>34</v>
      </c>
      <c r="AV15" s="167" t="s">
        <v>34</v>
      </c>
      <c r="AW15" s="118" t="s">
        <v>34</v>
      </c>
      <c r="AX15" s="22" t="s">
        <v>34</v>
      </c>
      <c r="AY15" s="22" t="s">
        <v>34</v>
      </c>
      <c r="AZ15" s="22" t="s">
        <v>34</v>
      </c>
      <c r="BA15" s="22" t="s">
        <v>34</v>
      </c>
      <c r="BB15" s="156" t="s">
        <v>298</v>
      </c>
      <c r="BC15" s="156" t="s">
        <v>343</v>
      </c>
      <c r="BD15" s="104" t="s">
        <v>344</v>
      </c>
      <c r="BE15" s="104" t="s">
        <v>255</v>
      </c>
      <c r="BF15" s="118" t="s">
        <v>34</v>
      </c>
      <c r="BG15" s="118" t="s">
        <v>34</v>
      </c>
      <c r="BH15" s="118" t="s">
        <v>34</v>
      </c>
      <c r="BI15" s="118" t="s">
        <v>34</v>
      </c>
      <c r="BJ15" s="104">
        <v>5</v>
      </c>
      <c r="BK15" s="104">
        <v>6</v>
      </c>
      <c r="BL15" s="104">
        <v>7</v>
      </c>
      <c r="BM15" s="104">
        <v>8</v>
      </c>
      <c r="BN15" s="104" t="s">
        <v>277</v>
      </c>
      <c r="BO15" s="118" t="s">
        <v>34</v>
      </c>
      <c r="BP15" s="121">
        <v>0</v>
      </c>
      <c r="BQ15" s="121">
        <v>0.01</v>
      </c>
      <c r="BR15" s="121">
        <v>0</v>
      </c>
      <c r="BS15" s="121">
        <v>0</v>
      </c>
      <c r="BT15" s="121">
        <v>0</v>
      </c>
      <c r="BU15" s="121">
        <v>0</v>
      </c>
      <c r="BV15" s="121">
        <v>0</v>
      </c>
      <c r="BW15" s="121">
        <v>0</v>
      </c>
      <c r="BX15" s="121">
        <v>0</v>
      </c>
      <c r="BY15" s="121">
        <v>0</v>
      </c>
      <c r="BZ15" s="121">
        <v>0</v>
      </c>
      <c r="CA15" s="121">
        <v>0</v>
      </c>
      <c r="CB15" s="121">
        <v>0</v>
      </c>
      <c r="CC15" s="121">
        <v>0</v>
      </c>
      <c r="CD15" s="121">
        <v>0</v>
      </c>
      <c r="CE15" s="121">
        <v>0</v>
      </c>
      <c r="CF15" s="121">
        <v>0</v>
      </c>
      <c r="CG15" s="121">
        <v>0</v>
      </c>
      <c r="CH15" s="121">
        <v>0</v>
      </c>
      <c r="CI15" s="121">
        <v>0</v>
      </c>
      <c r="CJ15" s="121">
        <v>0</v>
      </c>
      <c r="CK15" s="121">
        <v>0</v>
      </c>
      <c r="CL15" s="121">
        <v>0</v>
      </c>
      <c r="CM15" s="121">
        <v>0</v>
      </c>
      <c r="CN15" s="122">
        <v>1</v>
      </c>
      <c r="CO15" s="122">
        <v>14</v>
      </c>
      <c r="CP15" s="122">
        <v>1</v>
      </c>
      <c r="CQ15" s="122">
        <v>1</v>
      </c>
      <c r="CR15" s="122">
        <v>1</v>
      </c>
      <c r="CS15" s="122">
        <v>1</v>
      </c>
      <c r="CT15" s="122">
        <v>1</v>
      </c>
      <c r="CU15" s="122">
        <v>1</v>
      </c>
      <c r="CV15" s="122">
        <v>1</v>
      </c>
      <c r="CW15" s="122">
        <v>1</v>
      </c>
      <c r="CX15" s="122">
        <v>1</v>
      </c>
      <c r="CY15" s="122">
        <v>1</v>
      </c>
      <c r="CZ15" s="122">
        <v>1</v>
      </c>
      <c r="DA15" s="122">
        <v>1</v>
      </c>
      <c r="DB15" s="122">
        <v>1</v>
      </c>
      <c r="DC15" s="122">
        <v>1</v>
      </c>
      <c r="DD15" s="122">
        <v>1</v>
      </c>
      <c r="DE15" s="122">
        <v>1</v>
      </c>
      <c r="DF15" s="122">
        <v>1</v>
      </c>
      <c r="DG15" s="122">
        <v>1</v>
      </c>
      <c r="DH15" s="122">
        <v>1</v>
      </c>
      <c r="DI15" s="122">
        <v>1</v>
      </c>
      <c r="DJ15" s="122">
        <v>1</v>
      </c>
      <c r="DK15" s="122">
        <v>1</v>
      </c>
      <c r="DL15" s="123">
        <v>0</v>
      </c>
      <c r="DM15" s="123">
        <v>0</v>
      </c>
      <c r="DN15" s="123">
        <v>0</v>
      </c>
      <c r="DO15" s="123">
        <v>0</v>
      </c>
      <c r="DP15" s="123">
        <v>0</v>
      </c>
      <c r="DQ15" s="123">
        <v>0</v>
      </c>
      <c r="DR15" s="123">
        <v>0</v>
      </c>
      <c r="DS15" s="123">
        <v>0</v>
      </c>
      <c r="DT15" s="123">
        <v>0</v>
      </c>
      <c r="DU15" s="123">
        <v>0</v>
      </c>
      <c r="DV15" s="123">
        <v>0</v>
      </c>
      <c r="DW15" s="123">
        <v>0</v>
      </c>
      <c r="DX15" s="123">
        <v>0</v>
      </c>
      <c r="DY15" s="123">
        <v>0</v>
      </c>
      <c r="DZ15" s="123">
        <v>0</v>
      </c>
      <c r="EA15" s="123">
        <v>0</v>
      </c>
      <c r="EB15" s="123">
        <v>0</v>
      </c>
      <c r="EC15" s="123">
        <v>0</v>
      </c>
      <c r="ED15" s="123">
        <v>0</v>
      </c>
      <c r="EE15" s="123">
        <v>0</v>
      </c>
      <c r="EF15" s="123">
        <v>0</v>
      </c>
      <c r="EG15" s="123">
        <v>0</v>
      </c>
      <c r="EH15" s="123">
        <v>0</v>
      </c>
      <c r="EI15" s="123">
        <v>0</v>
      </c>
      <c r="EJ15" s="123">
        <v>0</v>
      </c>
      <c r="EK15" s="123">
        <v>0</v>
      </c>
      <c r="EL15" s="123">
        <v>0</v>
      </c>
      <c r="EM15" s="123">
        <v>0</v>
      </c>
      <c r="EN15" s="123">
        <v>0</v>
      </c>
      <c r="EO15" s="123">
        <v>0</v>
      </c>
      <c r="EP15" s="123">
        <v>0</v>
      </c>
      <c r="EQ15" s="123">
        <v>0</v>
      </c>
      <c r="ER15" s="123">
        <v>0</v>
      </c>
      <c r="ES15" s="123">
        <v>0</v>
      </c>
      <c r="ET15" s="123">
        <v>0</v>
      </c>
      <c r="EU15" s="123">
        <v>0</v>
      </c>
      <c r="EV15" s="123">
        <v>0</v>
      </c>
      <c r="EW15" s="123">
        <v>0</v>
      </c>
      <c r="EX15" s="123">
        <v>0</v>
      </c>
      <c r="EY15" s="123">
        <v>0</v>
      </c>
      <c r="EZ15" s="123">
        <v>0</v>
      </c>
      <c r="FA15" s="123">
        <v>0</v>
      </c>
      <c r="FB15" s="123">
        <v>0</v>
      </c>
      <c r="FC15" s="123">
        <v>0</v>
      </c>
      <c r="FD15" s="123">
        <v>0</v>
      </c>
      <c r="FE15" s="123">
        <v>0</v>
      </c>
      <c r="FF15" s="123">
        <v>0</v>
      </c>
      <c r="FG15" s="123">
        <v>0</v>
      </c>
      <c r="FH15" s="118" t="s">
        <v>34</v>
      </c>
      <c r="FI15" s="156" t="s">
        <v>345</v>
      </c>
      <c r="FJ15" s="118" t="s">
        <v>34</v>
      </c>
      <c r="FK15" s="156" t="s">
        <v>277</v>
      </c>
      <c r="FL15" s="107">
        <v>1623</v>
      </c>
      <c r="FM15" s="156" t="s">
        <v>346</v>
      </c>
      <c r="FN15" s="156"/>
      <c r="FO15" s="184">
        <v>44287</v>
      </c>
      <c r="FP15" s="104" t="str">
        <f>IF(Tabla1[[#This Row],[Clave Agip]]="","",+Tabla1[[#This Row],[Clave Agip]])</f>
        <v/>
      </c>
      <c r="FQ15" s="124" t="s">
        <v>34</v>
      </c>
      <c r="FR15" s="104">
        <f>+Tabla1[[#This Row],[CUIT]]</f>
        <v>27958350436</v>
      </c>
      <c r="FS15" s="104" t="str">
        <f>+Tabla1[[#This Row],[Clave Fiscal]]</f>
        <v>Lidia279583</v>
      </c>
      <c r="FT15" s="104" t="str">
        <f>+Tabla1[[#This Row],[Clave CIT]]</f>
        <v>Lidia2795835</v>
      </c>
      <c r="FU15" s="125" t="s">
        <v>261</v>
      </c>
      <c r="FV15" s="125" t="s">
        <v>261</v>
      </c>
      <c r="FW15" s="125" t="s">
        <v>261</v>
      </c>
      <c r="FX15" s="125">
        <v>2709.44</v>
      </c>
      <c r="FY15" s="125" t="s">
        <v>261</v>
      </c>
      <c r="FZ15" s="125" t="s">
        <v>261</v>
      </c>
      <c r="GA15" s="125" t="s">
        <v>261</v>
      </c>
      <c r="GB15" s="125" t="s">
        <v>261</v>
      </c>
      <c r="GC15" s="125" t="s">
        <v>261</v>
      </c>
      <c r="GD15" s="125" t="s">
        <v>261</v>
      </c>
      <c r="GE15" s="125" t="s">
        <v>261</v>
      </c>
      <c r="GF15" s="126" t="s">
        <v>267</v>
      </c>
      <c r="GG15" s="128">
        <v>9289144</v>
      </c>
      <c r="GH15" s="128" t="s">
        <v>347</v>
      </c>
      <c r="GI15" s="128" t="s">
        <v>348</v>
      </c>
      <c r="GJ15" s="146">
        <v>94805683</v>
      </c>
      <c r="GK15" s="130">
        <v>7900474</v>
      </c>
      <c r="GL15" s="128" t="s">
        <v>349</v>
      </c>
      <c r="GM15"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Lidia, adjunto envío la deuda al 30/04/2024, si no tenes deuda figura (sin deuda), al mismo tiempo les estamos mandando un PDF para que visualicen su deuda  y el detalle de cada concepto. En Deuda Monotributo / Autónomo $ 2709.44. En Deuda     Ingresos Brutos $ ( Sin Deuda ). En Deuda     Inmobiliario $ ( Sin Deuda ). En Deuda     Automotor $ ( Sin Deuda ). En caso de querer pagar todo Junto nos envían un mail o por Whatapp el aviso y les enviaremos un VEP; En caso de querer meterlo en un Plan de Pagos nos deberían de avisar y nos contactaremos para decirles en cuantas cuotas se puede hacer.     Te paso también la Clave de Afip     Lidia279583     y la clave de ARBA(cit)      Lidia2795835     para que las tengas Actualizadas. Abrazos. Sin mas saluda atentamente   Cdor. Mariano Morteo. (ESTE MAIL ES AUTOMATICO)</v>
      </c>
      <c r="GN15" s="22" t="s">
        <v>34</v>
      </c>
      <c r="GO15" s="148" t="s">
        <v>281</v>
      </c>
      <c r="GP15"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Lidia,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'A' y El monto facturado durante 2024-06a 2025-06 fue de $ 9289144 lo que te dejo luego de LA RECATEGORIZACIÓN en la CATEGORÍA 'B' Tu ACTIVIDAD es de 'Ventas' lo que hace que tu categoría máxima sea la 'K' pudiendo facturar un máximo anual de $ 94805683 este monto te permitirá facturar un promedio de $ 7900474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 Sin Deuda ) AUTOMOTOR $ ( Sin Deuda ) MONOTRIBUTO $ 2709.44 Cualquier duda que tengas, te pido te comuniques con nosotros para acláratelas. Muchas Gracias.          Te paso también la Clave de Afip     Lidia279583     y la clave de ARBA(cit)      Lidia2795835     para que las tengas Actualizadas, si te pide cambiarlas avísanos por favor. Abrazos            ((ESTE ES UN MENSAJE AUTOMATICO))</v>
      </c>
      <c r="GQ15" s="131" t="s">
        <v>264</v>
      </c>
    </row>
    <row r="16" spans="1:199" ht="15.75" thickBot="1" x14ac:dyDescent="0.3">
      <c r="A16" s="185">
        <v>314</v>
      </c>
      <c r="B16" s="186">
        <v>45734</v>
      </c>
      <c r="C16" s="187" t="s">
        <v>350</v>
      </c>
      <c r="D16" s="188" t="s">
        <v>351</v>
      </c>
      <c r="E16" s="189" t="str">
        <f>LEFT(Tabla1[[#This Row],[Clientes]],1)</f>
        <v>A</v>
      </c>
      <c r="F16" s="103"/>
      <c r="G16" s="190" t="s">
        <v>1</v>
      </c>
      <c r="H16" s="22" t="str">
        <f>VLOOKUP(Tabla1[[#This Row],[Clientes]],'[2]Facturacion 2025'!B$8:B$213,1,0)</f>
        <v>ARAOZ SANDOVAL MARIELA ROSA</v>
      </c>
      <c r="I16" s="191" t="s">
        <v>267</v>
      </c>
      <c r="J16" s="190" t="s">
        <v>352</v>
      </c>
      <c r="K16" s="192">
        <v>27269360483</v>
      </c>
      <c r="L16" s="193" t="s">
        <v>353</v>
      </c>
      <c r="M16" s="181" t="s">
        <v>354</v>
      </c>
      <c r="N16" s="104" t="str">
        <f>+Tabla1[[#This Row],[Clientes]]</f>
        <v>ARAOZ SANDOVAL MARIELA ROSA</v>
      </c>
      <c r="O16" s="98" t="s">
        <v>355</v>
      </c>
      <c r="P16" s="107" t="str">
        <f>RIGHT(Tabla1[[#This Row],[CUIT]],1)</f>
        <v>3</v>
      </c>
      <c r="Q16" s="28" t="s">
        <v>16</v>
      </c>
      <c r="R16" s="181" t="s">
        <v>238</v>
      </c>
      <c r="S16" s="181"/>
      <c r="T16" s="98"/>
      <c r="U16" s="181"/>
      <c r="V16" s="181"/>
      <c r="W16" s="181"/>
      <c r="X16" s="194" t="s">
        <v>356</v>
      </c>
      <c r="Y16" s="104" t="s">
        <v>242</v>
      </c>
      <c r="Z16" s="156"/>
      <c r="AA16" s="195" t="s">
        <v>243</v>
      </c>
      <c r="AB16" s="195" t="s">
        <v>243</v>
      </c>
      <c r="AC16" s="159"/>
      <c r="AE16" s="156"/>
      <c r="AF16" s="156"/>
      <c r="AG16" s="157"/>
      <c r="AH16" s="157"/>
      <c r="AI16" s="156"/>
      <c r="AJ16" s="156"/>
      <c r="AK16" s="156" t="s">
        <v>272</v>
      </c>
      <c r="AL16" s="196"/>
      <c r="AM16" s="107">
        <f>MONTH(Tabla1[[#This Row],[Fecha de Nacimiento]])</f>
        <v>1</v>
      </c>
      <c r="AN16" s="159" t="s">
        <v>357</v>
      </c>
      <c r="AO16" s="197"/>
      <c r="AP16" s="156"/>
      <c r="AQ16" s="156"/>
      <c r="AR16" s="156"/>
      <c r="AS16" s="156"/>
      <c r="AT16" s="22" t="s">
        <v>251</v>
      </c>
      <c r="AU16" s="156"/>
      <c r="AV16" s="181"/>
      <c r="AW16" s="156"/>
      <c r="AX16" s="156">
        <v>869090</v>
      </c>
      <c r="AY16" s="156"/>
      <c r="AZ16" s="159"/>
      <c r="BA16" s="159"/>
      <c r="BB16" s="159" t="s">
        <v>358</v>
      </c>
      <c r="BC16" s="156"/>
      <c r="BD16" s="156" t="s">
        <v>359</v>
      </c>
      <c r="BE16" s="156"/>
      <c r="BF16" s="156" t="s">
        <v>360</v>
      </c>
      <c r="BG16" s="156"/>
      <c r="BH16" s="156"/>
      <c r="BI16" s="156"/>
      <c r="BJ16" s="156"/>
      <c r="BK16" s="156"/>
      <c r="BL16" s="156"/>
      <c r="BM16" s="156"/>
      <c r="BN16" s="156"/>
      <c r="BO16" s="156"/>
      <c r="CN16">
        <v>14</v>
      </c>
      <c r="CO16">
        <v>14</v>
      </c>
      <c r="CP16">
        <v>1</v>
      </c>
      <c r="CQ16">
        <v>1</v>
      </c>
      <c r="CS16">
        <v>1</v>
      </c>
      <c r="CT16">
        <v>1</v>
      </c>
      <c r="CU16">
        <v>1</v>
      </c>
      <c r="CV16">
        <v>1</v>
      </c>
      <c r="CW16">
        <v>1</v>
      </c>
      <c r="CX16">
        <v>1</v>
      </c>
      <c r="CY16">
        <v>1</v>
      </c>
      <c r="CZ16">
        <v>1</v>
      </c>
      <c r="DA16">
        <v>1</v>
      </c>
      <c r="DB16">
        <v>1</v>
      </c>
      <c r="DC16">
        <v>1</v>
      </c>
      <c r="DD16">
        <v>1</v>
      </c>
      <c r="DE16">
        <v>1</v>
      </c>
      <c r="DF16">
        <v>1</v>
      </c>
      <c r="DG16">
        <v>1</v>
      </c>
      <c r="DH16">
        <v>1</v>
      </c>
      <c r="DI16">
        <v>1</v>
      </c>
      <c r="DJ16">
        <v>1</v>
      </c>
      <c r="DK16">
        <v>1</v>
      </c>
      <c r="FH16" s="156"/>
      <c r="FI16" s="156"/>
      <c r="FJ16" s="156"/>
      <c r="FK16" s="156"/>
      <c r="FL16" s="107"/>
      <c r="FM16" s="156"/>
      <c r="FN16" s="156"/>
      <c r="FO16" s="156"/>
      <c r="FP16" s="156" t="str">
        <f>IF(Tabla1[[#This Row],[Clave Agip]]="","",+Tabla1[[#This Row],[Clave Agip]])</f>
        <v>Araoz272693</v>
      </c>
      <c r="FR16" s="156">
        <f>+Tabla1[[#This Row],[CUIT]]</f>
        <v>27269360483</v>
      </c>
      <c r="FS16" s="156" t="str">
        <f>+Tabla1[[#This Row],[Clave Fiscal]]</f>
        <v>Mariela2024</v>
      </c>
      <c r="FT16" s="156" t="str">
        <f>+Tabla1[[#This Row],[Clave CIT]]</f>
        <v>Em27269360</v>
      </c>
      <c r="FU16" s="125" t="s">
        <v>261</v>
      </c>
      <c r="FV16" s="125">
        <v>578718.1</v>
      </c>
      <c r="FW16" s="125" t="s">
        <v>261</v>
      </c>
      <c r="FX16" s="125" t="s">
        <v>261</v>
      </c>
      <c r="FY16" s="125" t="s">
        <v>261</v>
      </c>
      <c r="FZ16" s="125" t="s">
        <v>261</v>
      </c>
      <c r="GA16" s="198"/>
      <c r="GB16" s="198"/>
      <c r="GC16" s="198"/>
      <c r="GD16" s="198"/>
      <c r="GE16" s="198"/>
      <c r="GF16" s="199"/>
      <c r="GG16" s="128">
        <v>16046037.400000002</v>
      </c>
      <c r="GH16" s="128" t="s">
        <v>267</v>
      </c>
      <c r="GI16" s="128" t="s">
        <v>279</v>
      </c>
      <c r="GJ16" s="146">
        <v>61344854</v>
      </c>
      <c r="GK16" s="130">
        <v>5112071</v>
      </c>
      <c r="GL16" s="200" t="s">
        <v>361</v>
      </c>
      <c r="GM16" s="156"/>
      <c r="GN16" s="156" t="str">
        <f>"Buenas tardes "&amp;Tabla1[[#This Row],[Nombre]]&amp;", adjunto envió la deuda que nosotros vemos en el sistema acumulada hasta el 31/12/2023, al mismo tiempo te estamos mandando un Print de Pantalla para que visualicen el detalle de cada concepto si es que tenes DEUDA."&amp;" "&amp;"En "&amp;Tabla1[[#Headers],[Monot. / Autónomo]]&amp;" "&amp;+Tabla1[[#This Row],[Monot. / Autónomo]]&amp;"   ***    "&amp;" "&amp;"En "&amp;Tabla1[[#Headers],[Ingresos Brutos]]&amp;" "&amp;+Tabla1[[#This Row],[Ingresos Brutos]]&amp;"   ***    "&amp;"En "&amp;Tabla1[[#Headers],[AGIP]]&amp;" "&amp;+Tabla1[[#This Row],[AGIP]]&amp;"   ***    "&amp;"En "&amp;Tabla1[[#Headers],[SCT  IVA]]&amp;" "&amp;+Tabla1[[#This Row],[SCT  IVA]]&amp;"   ***    "&amp;"En "&amp;Tabla1[[#Headers],[SCT Empleados]]&amp;" "&amp;+Tabla1[[#This Row],[SCT Empleados]]&amp;"   ***    "&amp;"En "&amp;Tabla1[[#Headers],[SCT GCIA &amp; BP]]&amp;" "&amp;+Tabla1[[#This Row],[SCT GCIA &amp; BP]]&amp;"   ***    "&amp;"En "&amp;Tabla1[[#Headers],[SCT Contribución de Seg. Social]]&amp;" "&amp;+Tabla1[[#This Row],[SCT Contribución de Seg. Social]]&amp;"   ***    "&amp;"En "&amp;Tabla1[[#Headers],[Convenio]]&amp;" "&amp;+Tabla1[[#This Row],[Convenio]]&amp;"   ***    "&amp;"En "&amp;Tabla1[[#Headers],[Seg. e Higiene]]&amp;" "&amp;+Tabla1[[#This Row],[Seg. e Higiene]]&amp;"En "&amp;Tabla1[[#Headers],[Inmobiliario]]&amp;" "&amp;+Tabla1[[#This Row],[Inmobiliario]]&amp;"   ***    "&amp;"En "&amp;Tabla1[[#Headers],[Automotor]]&amp;" "&amp;+Tabla1[[#This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f>
        <v>Buenas tardes Mariela, adjunto envió la deuda que nosotros vemos en el sistema acumulada hasta el 31/12/2023, al mismo tiempo te estamos mandando un Print de Pantalla para que visualicen el detalle de cada concepto si es que tenes DEUDA. En Monot. / Autónomo ( Sin Deuda )   ***     En Ingresos Brutos ( Sin Deuda )   ***    En AGIP ( Sin Deuda )   ***    En SCT  IVA ( Sin Deuda )   ***    En SCT Empleados    ***    En SCT GCIA &amp; BP    ***    En SCT Contribución de Seg. Social    ***    En Convenio    ***    En Seg. e Higiene En Inmobiliario 578718.1   ***    En Automotor ( Sin Deuda )   ***    .       En caso de querer pagar todo Junto nos envías un mail o por Whatapp el aviso y te enviaremos un VEP; En caso de querer meterlo en un Plan de Pagos nos deberías de avisar y nos contactaremos para decirte en cuantas cuotas se puede hacer. Sin más saluda atentamente Cdor. Mariano Morteo.  Muchas Gracias  (ESTE MAIL ES AUTOMATICO).</v>
      </c>
      <c r="GO16" s="148" t="s">
        <v>281</v>
      </c>
      <c r="GP16"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Mariela,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'C' y El monto facturado durante 2024-06a 2025-06 fue de $ 16046037.4 lo que te dejo luego de LA RECATEGORIZACIÓN en la CATEGORÍA 'C' Tu ACTIVIDAD es de 'servicios' lo que hace que tu categoría máxima sea la 'H' pudiendo facturar un máximo anual de $ 61344854 este monto te permitirá facturar un promedio de $ 5112071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$ 578718.1 AUTOMOTOR $ ( Sin Deuda ) MONOTRIBUTO $ ( Sin Deuda ) Cualquier duda que tengas, te pido te comuniques con nosotros para acláratelas. Muchas Gracias.          Te paso también la Clave de Afip     Mariela2024     y la clave de ARBA(cit)      Em27269360     para que las tengas Actualizadas, si te pide cambiarlas avísanos por favor. Abrazos            ((ESTE ES UN MENSAJE AUTOMATICO))</v>
      </c>
      <c r="GQ16" s="131" t="s">
        <v>264</v>
      </c>
    </row>
    <row r="17" spans="1:199" ht="15.75" thickBot="1" x14ac:dyDescent="0.3">
      <c r="A17" s="98">
        <v>110</v>
      </c>
      <c r="B17" s="99">
        <v>45323</v>
      </c>
      <c r="C17" s="152" t="s">
        <v>265</v>
      </c>
      <c r="D17" s="201" t="s">
        <v>362</v>
      </c>
      <c r="E17" s="102" t="str">
        <f>LEFT(Tabla1[[#This Row],[Clientes]],1)</f>
        <v>A</v>
      </c>
      <c r="F17" s="103"/>
      <c r="G17" s="104" t="s">
        <v>8</v>
      </c>
      <c r="H17" s="22" t="str">
        <f>VLOOKUP(Tabla1[[#This Row],[Clientes]],'[2]Facturacion 2025'!B$8:B$213,1,0)</f>
        <v>ARCANGELI HERNAN OMAR</v>
      </c>
      <c r="I17" s="133" t="s">
        <v>251</v>
      </c>
      <c r="J17" s="134" t="s">
        <v>234</v>
      </c>
      <c r="K17" s="5">
        <v>20301382686</v>
      </c>
      <c r="L17" s="202" t="s">
        <v>363</v>
      </c>
      <c r="M17" s="154" t="s">
        <v>364</v>
      </c>
      <c r="N17" s="104" t="str">
        <f>+Tabla1[[#This Row],[Clientes]]</f>
        <v>ARCANGELI HERNAN OMAR</v>
      </c>
      <c r="O17" s="108"/>
      <c r="P17" s="107" t="str">
        <f>RIGHT(Tabla1[[#This Row],[CUIT]],1)</f>
        <v>6</v>
      </c>
      <c r="Q17" s="28" t="s">
        <v>16</v>
      </c>
      <c r="R17" s="104" t="s">
        <v>269</v>
      </c>
      <c r="S17" s="22"/>
      <c r="T17" s="108"/>
      <c r="U17" s="108"/>
      <c r="V17" s="108"/>
      <c r="W17" s="167"/>
      <c r="X17" s="203"/>
      <c r="Y17" s="104" t="s">
        <v>242</v>
      </c>
      <c r="Z17" s="22"/>
      <c r="AA17" s="120"/>
      <c r="AB17" s="120"/>
      <c r="AC17" s="204" t="s">
        <v>365</v>
      </c>
      <c r="AD17" t="s">
        <v>366</v>
      </c>
      <c r="AE17" s="118"/>
      <c r="AF17" s="118"/>
      <c r="AG17" s="116"/>
      <c r="AH17" s="205"/>
      <c r="AI17" s="206"/>
      <c r="AJ17" s="22"/>
      <c r="AK17" s="118" t="s">
        <v>272</v>
      </c>
      <c r="AL17" s="113">
        <v>30373</v>
      </c>
      <c r="AM17" s="207">
        <f>MONTH(Tabla1[[#This Row],[Fecha de Nacimiento]])</f>
        <v>2</v>
      </c>
      <c r="AN17" s="170"/>
      <c r="AO17" s="208"/>
      <c r="AP17" s="118"/>
      <c r="AQ17" s="143"/>
      <c r="AR17" s="22"/>
      <c r="AS17" s="22"/>
      <c r="AT17" s="22" t="s">
        <v>251</v>
      </c>
      <c r="AU17" s="116"/>
      <c r="AV17" s="22"/>
      <c r="AW17" s="22"/>
      <c r="AX17" s="118"/>
      <c r="AY17" s="118"/>
      <c r="AZ17" s="118"/>
      <c r="BA17" s="118"/>
      <c r="BB17" s="102"/>
      <c r="BC17" s="22"/>
      <c r="BD17" s="22"/>
      <c r="BE17" s="22"/>
      <c r="BF17" s="22"/>
      <c r="BG17" s="22"/>
      <c r="BH17" s="22"/>
      <c r="BI17" s="22"/>
      <c r="BJ17" s="22"/>
      <c r="BK17" s="22"/>
      <c r="BL17" s="22"/>
      <c r="BM17" s="22"/>
      <c r="BN17" s="22"/>
      <c r="BO17" s="22"/>
      <c r="BP17" s="209"/>
      <c r="BQ17" s="209"/>
      <c r="BR17" s="209"/>
      <c r="BS17" s="209"/>
      <c r="BT17" s="209"/>
      <c r="BU17" s="209"/>
      <c r="BV17" s="209"/>
      <c r="BW17" s="209"/>
      <c r="BX17" s="209"/>
      <c r="BY17" s="209"/>
      <c r="BZ17" s="209"/>
      <c r="CA17" s="209"/>
      <c r="CB17" s="209"/>
      <c r="CC17" s="209"/>
      <c r="CD17" s="209"/>
      <c r="CE17" s="209"/>
      <c r="CF17" s="209"/>
      <c r="CG17" s="209"/>
      <c r="CH17" s="209"/>
      <c r="CI17" s="209"/>
      <c r="CJ17" s="209"/>
      <c r="CK17" s="209"/>
      <c r="CL17" s="209"/>
      <c r="CM17" s="209"/>
      <c r="CN17" s="124"/>
      <c r="CO17" s="124"/>
      <c r="CP17" s="124"/>
      <c r="CQ17" s="124"/>
      <c r="CR17" s="124"/>
      <c r="CS17" s="124"/>
      <c r="CT17" s="124"/>
      <c r="CU17" s="124"/>
      <c r="CV17" s="124"/>
      <c r="CW17" s="124"/>
      <c r="CX17" s="124"/>
      <c r="CY17" s="124"/>
      <c r="CZ17" s="124"/>
      <c r="DA17" s="124"/>
      <c r="DB17" s="124"/>
      <c r="DC17" s="124"/>
      <c r="DD17" s="124"/>
      <c r="DE17" s="124"/>
      <c r="DF17" s="124"/>
      <c r="DG17" s="124"/>
      <c r="DH17" s="124"/>
      <c r="DI17" s="124"/>
      <c r="DJ17" s="124"/>
      <c r="DK17" s="124"/>
      <c r="DL17" s="124"/>
      <c r="DM17" s="124"/>
      <c r="DN17" s="124"/>
      <c r="DO17" s="124"/>
      <c r="DP17" s="124"/>
      <c r="DQ17" s="124"/>
      <c r="DR17" s="124"/>
      <c r="DS17" s="124"/>
      <c r="DT17" s="124"/>
      <c r="DU17" s="124"/>
      <c r="DV17" s="124"/>
      <c r="DW17" s="124"/>
      <c r="DX17" s="124"/>
      <c r="DY17" s="124"/>
      <c r="DZ17" s="124"/>
      <c r="EA17" s="124"/>
      <c r="EB17" s="124"/>
      <c r="EC17" s="124"/>
      <c r="ED17" s="124"/>
      <c r="EE17" s="124"/>
      <c r="EF17" s="124"/>
      <c r="EG17" s="124"/>
      <c r="EH17" s="124"/>
      <c r="EI17" s="124"/>
      <c r="EJ17" s="124"/>
      <c r="EK17" s="124"/>
      <c r="EL17" s="124"/>
      <c r="EM17" s="124"/>
      <c r="EN17" s="124"/>
      <c r="EO17" s="124"/>
      <c r="EP17" s="124"/>
      <c r="EQ17" s="124"/>
      <c r="ER17" s="124"/>
      <c r="ES17" s="124"/>
      <c r="ET17" s="124"/>
      <c r="EU17" s="124"/>
      <c r="EV17" s="124"/>
      <c r="EW17" s="124"/>
      <c r="EX17" s="124"/>
      <c r="EY17" s="124"/>
      <c r="EZ17" s="124"/>
      <c r="FA17" s="124"/>
      <c r="FB17" s="124"/>
      <c r="FC17" s="124"/>
      <c r="FD17" s="124"/>
      <c r="FE17" s="124"/>
      <c r="FF17" s="124"/>
      <c r="FG17" s="124"/>
      <c r="FH17" s="22"/>
      <c r="FI17" s="22"/>
      <c r="FJ17" s="22"/>
      <c r="FK17" s="22"/>
      <c r="FL17" s="108"/>
      <c r="FM17" s="22"/>
      <c r="FN17" s="22"/>
      <c r="FO17" s="22"/>
      <c r="FP17" s="22"/>
      <c r="FQ17" s="124"/>
      <c r="FR17" s="22"/>
      <c r="FS17" s="22"/>
      <c r="FT17" s="22"/>
      <c r="FU17" s="125" t="s">
        <v>261</v>
      </c>
      <c r="FV17" s="125">
        <v>159358.9</v>
      </c>
      <c r="FW17" s="125" t="s">
        <v>261</v>
      </c>
      <c r="FX17" s="125" t="s">
        <v>261</v>
      </c>
      <c r="FY17" s="125" t="s">
        <v>261</v>
      </c>
      <c r="FZ17" s="125" t="s">
        <v>261</v>
      </c>
      <c r="GA17" s="125" t="s">
        <v>261</v>
      </c>
      <c r="GB17" s="125" t="s">
        <v>261</v>
      </c>
      <c r="GC17" s="125" t="s">
        <v>261</v>
      </c>
      <c r="GD17" s="125" t="s">
        <v>261</v>
      </c>
      <c r="GE17" s="125" t="s">
        <v>261</v>
      </c>
      <c r="GF17" s="126" t="s">
        <v>251</v>
      </c>
      <c r="GG17" s="128">
        <v>6945400</v>
      </c>
      <c r="GH17" s="128" t="s">
        <v>251</v>
      </c>
      <c r="GI17" s="128" t="s">
        <v>279</v>
      </c>
      <c r="GJ17" s="146">
        <v>61344854</v>
      </c>
      <c r="GK17" s="130">
        <v>5112071</v>
      </c>
      <c r="GL17" s="210" t="s">
        <v>367</v>
      </c>
      <c r="GM17"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Hernan, adjunto envío la deuda al 30/04/2024, si no tenes deuda figura (sin deuda), al mismo tiempo les estamos mandando un PDF para que visualicen su deuda  y el detalle de cada concepto. En Deuda Monotributo / Autónomo $ ( Sin Deuda ). En Deuda     Ingresos Brutos $ ( Sin Deuda ). En Deuda     Inmobiliario $ 159358.9. En Deuda     Automotor $ ( Sin Deuda ). En caso de querer pagar todo Junto nos envían un mail o por Whatapp el aviso y les enviaremos un VEP; En caso de querer meterlo en un Plan de Pagos nos deberían de avisar y nos contactaremos para decirles en cuantas cuotas se puede hacer.     Te paso también la Clave de Afip     HernanOmar25     y la clave de ARBA(cit)      Hernan2023     para que las tengas Actualizadas. Abrazos. Sin mas saluda atentamente   Cdor. Mariano Morteo. (ESTE MAIL ES AUTOMATICO)</v>
      </c>
      <c r="GN17" s="22" t="s">
        <v>34</v>
      </c>
      <c r="GO17" s="148" t="s">
        <v>281</v>
      </c>
      <c r="GP17"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Hernan,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'A' y El monto facturado durante 2024-06a 2025-06 fue de $ 6945400 lo que te dejo luego de LA RECATEGORIZACIÓN en la CATEGORÍA 'A' Tu ACTIVIDAD es de 'Servicios' lo que hace que tu categoría máxima sea la 'H' pudiendo facturar un máximo anual de $ 61344854 este monto te permitirá facturar un promedio de $ 5112071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$ 159358.9 AUTOMOTOR $ ( Sin Deuda ) MONOTRIBUTO $ ( Sin Deuda ) Cualquier duda que tengas, te pido te comuniques con nosotros para acláratelas. Muchas Gracias.          Te paso también la Clave de Afip     HernanOmar25     y la clave de ARBA(cit)      Hernan2023     para que las tengas Actualizadas, si te pide cambiarlas avísanos por favor. Abrazos            ((ESTE ES UN MENSAJE AUTOMATICO))</v>
      </c>
      <c r="GQ17" s="131" t="s">
        <v>264</v>
      </c>
    </row>
    <row r="18" spans="1:199" ht="15.75" thickBot="1" x14ac:dyDescent="0.3">
      <c r="A18" s="98">
        <v>112</v>
      </c>
      <c r="B18" s="99">
        <v>41958</v>
      </c>
      <c r="C18" s="100" t="s">
        <v>368</v>
      </c>
      <c r="D18" s="102" t="s">
        <v>369</v>
      </c>
      <c r="E18" s="102" t="str">
        <f>LEFT(Tabla1[[#This Row],[Clientes]],1)</f>
        <v>A</v>
      </c>
      <c r="F18" s="103"/>
      <c r="G18" s="104" t="s">
        <v>8</v>
      </c>
      <c r="H18" s="22" t="str">
        <f>VLOOKUP(Tabla1[[#This Row],[Clientes]],'[2]Facturacion 2025'!B$8:B$213,1,0)</f>
        <v xml:space="preserve">Arrieta Amorina </v>
      </c>
      <c r="I18" s="133" t="s">
        <v>347</v>
      </c>
      <c r="J18" s="134" t="s">
        <v>234</v>
      </c>
      <c r="K18" s="5">
        <v>27222783637</v>
      </c>
      <c r="L18" s="102" t="s">
        <v>370</v>
      </c>
      <c r="M18" s="102">
        <v>278363</v>
      </c>
      <c r="N18" s="104" t="str">
        <f>+Tabla1[[#This Row],[Clientes]]</f>
        <v xml:space="preserve">ARRIETA AMORINA </v>
      </c>
      <c r="O18" s="136" t="s">
        <v>34</v>
      </c>
      <c r="P18" s="107" t="str">
        <f>RIGHT(Tabla1[[#This Row],[CUIT]],1)</f>
        <v>7</v>
      </c>
      <c r="Q18" s="31" t="s">
        <v>23</v>
      </c>
      <c r="R18" s="102" t="s">
        <v>269</v>
      </c>
      <c r="S18" s="22" t="s">
        <v>34</v>
      </c>
      <c r="T18" s="136" t="s">
        <v>34</v>
      </c>
      <c r="U18" s="136" t="s">
        <v>34</v>
      </c>
      <c r="V18" s="136" t="s">
        <v>34</v>
      </c>
      <c r="W18" s="102">
        <v>12345678</v>
      </c>
      <c r="X18" s="182" t="s">
        <v>371</v>
      </c>
      <c r="Y18" s="104" t="s">
        <v>242</v>
      </c>
      <c r="Z18" s="22" t="s">
        <v>34</v>
      </c>
      <c r="AA18" s="102" t="s">
        <v>243</v>
      </c>
      <c r="AB18" s="115" t="s">
        <v>243</v>
      </c>
      <c r="AC18" s="111" t="s">
        <v>372</v>
      </c>
      <c r="AD18" t="s">
        <v>34</v>
      </c>
      <c r="AE18" s="22" t="s">
        <v>373</v>
      </c>
      <c r="AF18" s="124" t="s">
        <v>34</v>
      </c>
      <c r="AG18" s="112" t="s">
        <v>246</v>
      </c>
      <c r="AH18" s="124" t="s">
        <v>34</v>
      </c>
      <c r="AI18" s="124" t="s">
        <v>34</v>
      </c>
      <c r="AJ18" s="22" t="s">
        <v>34</v>
      </c>
      <c r="AK18" s="102" t="s">
        <v>374</v>
      </c>
      <c r="AL18" s="113">
        <v>25934</v>
      </c>
      <c r="AM18" s="108">
        <f>MONTH(Tabla1[[#This Row],[Fecha de Nacimiento]])</f>
        <v>1</v>
      </c>
      <c r="AN18" s="115" t="s">
        <v>248</v>
      </c>
      <c r="AO18" s="116" t="s">
        <v>34</v>
      </c>
      <c r="AP18" s="22" t="s">
        <v>34</v>
      </c>
      <c r="AQ18" s="124" t="s">
        <v>40</v>
      </c>
      <c r="AR18" s="124" t="s">
        <v>34</v>
      </c>
      <c r="AS18" s="124" t="s">
        <v>34</v>
      </c>
      <c r="AT18" s="22" t="s">
        <v>251</v>
      </c>
      <c r="AU18" s="211" t="s">
        <v>34</v>
      </c>
      <c r="AV18" s="212" t="s">
        <v>375</v>
      </c>
      <c r="AW18" s="102" t="s">
        <v>376</v>
      </c>
      <c r="AX18" s="22" t="s">
        <v>34</v>
      </c>
      <c r="AY18" s="22" t="s">
        <v>34</v>
      </c>
      <c r="AZ18" s="124" t="s">
        <v>34</v>
      </c>
      <c r="BA18" s="124" t="s">
        <v>34</v>
      </c>
      <c r="BB18" s="102" t="s">
        <v>275</v>
      </c>
      <c r="BC18" s="124" t="s">
        <v>34</v>
      </c>
      <c r="BD18" s="102" t="s">
        <v>276</v>
      </c>
      <c r="BE18" s="104" t="s">
        <v>255</v>
      </c>
      <c r="BF18" s="124" t="s">
        <v>34</v>
      </c>
      <c r="BG18" s="124" t="s">
        <v>34</v>
      </c>
      <c r="BH18" s="124" t="s">
        <v>34</v>
      </c>
      <c r="BI18" s="124" t="s">
        <v>34</v>
      </c>
      <c r="BJ18" s="104">
        <v>5</v>
      </c>
      <c r="BK18" s="104">
        <v>6</v>
      </c>
      <c r="BL18" s="104">
        <v>7</v>
      </c>
      <c r="BM18" s="104">
        <v>8</v>
      </c>
      <c r="BN18" s="104" t="s">
        <v>277</v>
      </c>
      <c r="BO18" s="124" t="s">
        <v>34</v>
      </c>
      <c r="BP18" s="121">
        <v>0</v>
      </c>
      <c r="BQ18" s="121">
        <v>0.01</v>
      </c>
      <c r="BR18" s="121">
        <v>0</v>
      </c>
      <c r="BS18" s="121">
        <v>0</v>
      </c>
      <c r="BT18" s="121">
        <v>0</v>
      </c>
      <c r="BU18" s="121">
        <v>0</v>
      </c>
      <c r="BV18" s="121">
        <v>0</v>
      </c>
      <c r="BW18" s="121">
        <v>0</v>
      </c>
      <c r="BX18" s="121">
        <v>0</v>
      </c>
      <c r="BY18" s="121">
        <v>0</v>
      </c>
      <c r="BZ18" s="121">
        <v>0</v>
      </c>
      <c r="CA18" s="121">
        <v>0</v>
      </c>
      <c r="CB18" s="121">
        <v>0</v>
      </c>
      <c r="CC18" s="121">
        <v>0</v>
      </c>
      <c r="CD18" s="121">
        <v>0</v>
      </c>
      <c r="CE18" s="121">
        <v>0</v>
      </c>
      <c r="CF18" s="121">
        <v>0</v>
      </c>
      <c r="CG18" s="121">
        <v>0</v>
      </c>
      <c r="CH18" s="121">
        <v>0</v>
      </c>
      <c r="CI18" s="121">
        <v>0</v>
      </c>
      <c r="CJ18" s="121">
        <v>0</v>
      </c>
      <c r="CK18" s="121">
        <v>0</v>
      </c>
      <c r="CL18" s="121">
        <v>0</v>
      </c>
      <c r="CM18" s="121">
        <v>0</v>
      </c>
      <c r="CN18" s="122">
        <v>1</v>
      </c>
      <c r="CO18" s="122">
        <v>14</v>
      </c>
      <c r="CP18" s="122">
        <v>1</v>
      </c>
      <c r="CQ18" s="122">
        <v>1</v>
      </c>
      <c r="CR18" s="122">
        <v>1</v>
      </c>
      <c r="CS18" s="122">
        <v>1</v>
      </c>
      <c r="CT18" s="122">
        <v>1</v>
      </c>
      <c r="CU18" s="122">
        <v>1</v>
      </c>
      <c r="CV18" s="122">
        <v>1</v>
      </c>
      <c r="CW18" s="122">
        <v>1</v>
      </c>
      <c r="CX18" s="122">
        <v>1</v>
      </c>
      <c r="CY18" s="122">
        <v>1</v>
      </c>
      <c r="CZ18" s="122">
        <v>1</v>
      </c>
      <c r="DA18" s="122">
        <v>1</v>
      </c>
      <c r="DB18" s="122">
        <v>1</v>
      </c>
      <c r="DC18" s="122">
        <v>1</v>
      </c>
      <c r="DD18" s="122">
        <v>1</v>
      </c>
      <c r="DE18" s="122">
        <v>1</v>
      </c>
      <c r="DF18" s="122">
        <v>1</v>
      </c>
      <c r="DG18" s="122">
        <v>1</v>
      </c>
      <c r="DH18" s="122">
        <v>1</v>
      </c>
      <c r="DI18" s="122">
        <v>1</v>
      </c>
      <c r="DJ18" s="122">
        <v>1</v>
      </c>
      <c r="DK18" s="122">
        <v>1</v>
      </c>
      <c r="DL18" s="123">
        <v>0</v>
      </c>
      <c r="DM18" s="123">
        <v>0</v>
      </c>
      <c r="DN18" s="123">
        <v>0</v>
      </c>
      <c r="DO18" s="123">
        <v>0</v>
      </c>
      <c r="DP18" s="123">
        <v>0</v>
      </c>
      <c r="DQ18" s="123">
        <v>0</v>
      </c>
      <c r="DR18" s="123">
        <v>0</v>
      </c>
      <c r="DS18" s="123">
        <v>0</v>
      </c>
      <c r="DT18" s="123">
        <v>0</v>
      </c>
      <c r="DU18" s="123">
        <v>0</v>
      </c>
      <c r="DV18" s="123">
        <v>0</v>
      </c>
      <c r="DW18" s="123">
        <v>0</v>
      </c>
      <c r="DX18" s="123">
        <v>0</v>
      </c>
      <c r="DY18" s="123">
        <v>0</v>
      </c>
      <c r="DZ18" s="123">
        <v>0</v>
      </c>
      <c r="EA18" s="123">
        <v>0</v>
      </c>
      <c r="EB18" s="123">
        <v>0</v>
      </c>
      <c r="EC18" s="123">
        <v>0</v>
      </c>
      <c r="ED18" s="123">
        <v>0</v>
      </c>
      <c r="EE18" s="123">
        <v>0</v>
      </c>
      <c r="EF18" s="123">
        <v>0</v>
      </c>
      <c r="EG18" s="123">
        <v>0</v>
      </c>
      <c r="EH18" s="123">
        <v>0</v>
      </c>
      <c r="EI18" s="123">
        <v>0</v>
      </c>
      <c r="EJ18" s="123">
        <v>0</v>
      </c>
      <c r="EK18" s="123">
        <v>0</v>
      </c>
      <c r="EL18" s="123">
        <v>0</v>
      </c>
      <c r="EM18" s="123">
        <v>0</v>
      </c>
      <c r="EN18" s="123">
        <v>0</v>
      </c>
      <c r="EO18" s="123">
        <v>0</v>
      </c>
      <c r="EP18" s="123">
        <v>0</v>
      </c>
      <c r="EQ18" s="123">
        <v>0</v>
      </c>
      <c r="ER18" s="123">
        <v>0</v>
      </c>
      <c r="ES18" s="123">
        <v>0</v>
      </c>
      <c r="ET18" s="123">
        <v>0</v>
      </c>
      <c r="EU18" s="123">
        <v>0</v>
      </c>
      <c r="EV18" s="123">
        <v>0</v>
      </c>
      <c r="EW18" s="123">
        <v>0</v>
      </c>
      <c r="EX18" s="123">
        <v>0</v>
      </c>
      <c r="EY18" s="123">
        <v>0</v>
      </c>
      <c r="EZ18" s="123">
        <v>0</v>
      </c>
      <c r="FA18" s="123">
        <v>0</v>
      </c>
      <c r="FB18" s="123">
        <v>0</v>
      </c>
      <c r="FC18" s="123">
        <v>0</v>
      </c>
      <c r="FD18" s="123">
        <v>0</v>
      </c>
      <c r="FE18" s="123">
        <v>0</v>
      </c>
      <c r="FF18" s="123">
        <v>0</v>
      </c>
      <c r="FG18" s="123">
        <v>0</v>
      </c>
      <c r="FH18" s="124" t="s">
        <v>34</v>
      </c>
      <c r="FI18" s="102" t="s">
        <v>377</v>
      </c>
      <c r="FJ18" s="124" t="s">
        <v>34</v>
      </c>
      <c r="FK18" s="102" t="s">
        <v>260</v>
      </c>
      <c r="FL18" s="5">
        <v>1623</v>
      </c>
      <c r="FM18" s="102" t="s">
        <v>378</v>
      </c>
      <c r="FN18" s="102"/>
      <c r="FO18" s="213">
        <v>42248</v>
      </c>
      <c r="FP18" s="104" t="str">
        <f>IF(Tabla1[[#This Row],[Clave Agip]]="","",+Tabla1[[#This Row],[Clave Agip]])</f>
        <v/>
      </c>
      <c r="FQ18" s="124" t="s">
        <v>34</v>
      </c>
      <c r="FR18" s="104">
        <f>+Tabla1[[#This Row],[CUIT]]</f>
        <v>27222783637</v>
      </c>
      <c r="FS18" s="104" t="str">
        <f>+Tabla1[[#This Row],[Clave Fiscal]]</f>
        <v>Arrieta2722</v>
      </c>
      <c r="FT18" s="104">
        <f>+Tabla1[[#This Row],[Clave CIT]]</f>
        <v>278363</v>
      </c>
      <c r="FU18" s="125">
        <v>22841</v>
      </c>
      <c r="FV18" s="125" t="s">
        <v>261</v>
      </c>
      <c r="FW18" s="125" t="s">
        <v>261</v>
      </c>
      <c r="FX18" s="176" t="s">
        <v>261</v>
      </c>
      <c r="FY18" s="125" t="s">
        <v>261</v>
      </c>
      <c r="FZ18" s="125" t="s">
        <v>261</v>
      </c>
      <c r="GA18" s="125" t="s">
        <v>261</v>
      </c>
      <c r="GB18" s="125" t="s">
        <v>261</v>
      </c>
      <c r="GC18" s="125" t="s">
        <v>261</v>
      </c>
      <c r="GD18" s="125" t="s">
        <v>261</v>
      </c>
      <c r="GE18" s="125" t="s">
        <v>261</v>
      </c>
      <c r="GF18" s="126" t="s">
        <v>251</v>
      </c>
      <c r="GG18" s="128">
        <v>13680129</v>
      </c>
      <c r="GH18" s="128" t="s">
        <v>267</v>
      </c>
      <c r="GI18" s="128" t="s">
        <v>279</v>
      </c>
      <c r="GJ18" s="146">
        <v>61344854</v>
      </c>
      <c r="GK18" s="130">
        <v>5112071</v>
      </c>
      <c r="GL18" s="128" t="s">
        <v>379</v>
      </c>
      <c r="GM18"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Amorina, adjunto envío la deuda al 30/04/2024, si no tenes deuda figura (sin deuda), al mismo tiempo les estamos mandando un PDF para que visualicen su deuda  y el detalle de cada concepto. En Deuda Monotributo / Autónomo $ ( Sin Deuda ). En Deuda     Ingresos Brutos $ 22841. En Deuda     Inmobiliario $ ( Sin Deuda ). En Deuda     Automotor $ ( Sin Deuda ). En caso de querer pagar todo Junto nos envían un mail o por Whatapp el aviso y les enviaremos un VEP; En caso de querer meterlo en un Plan de Pagos nos deberían de avisar y nos contactaremos para decirles en cuantas cuotas se puede hacer.     Te paso también la Clave de Afip     Arrieta2722     y la clave de ARBA(cit)      278363     para que las tengas Actualizadas. Abrazos. Sin mas saluda atentamente   Cdor. Mariano Morteo. (ESTE MAIL ES AUTOMATICO)</v>
      </c>
      <c r="GN18" s="22" t="s">
        <v>34</v>
      </c>
      <c r="GO18" s="148" t="s">
        <v>281</v>
      </c>
      <c r="GP18"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Amorina,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'B' y El monto facturado durante 2024-06a 2025-06 fue de $ 13680129 lo que te dejo luego de LA RECATEGORIZACIÓN en la CATEGORÍA 'C' Tu ACTIVIDAD es de 'Servicios' lo que hace que tu categoría máxima sea la 'H' pudiendo facturar un máximo anual de $ 61344854 este monto te permitirá facturar un promedio de $ 5112071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$ 22841 INMOBILIARIO $ ( Sin Deuda ) AUTOMOTOR $ ( Sin Deuda ) MONOTRIBUTO $ ( Sin Deuda ) Cualquier duda que tengas, te pido te comuniques con nosotros para acláratelas. Muchas Gracias.          Te paso también la Clave de Afip     Arrieta2722     y la clave de ARBA(cit)      278363     para que las tengas Actualizadas, si te pide cambiarlas avísanos por favor. Abrazos            ((ESTE ES UN MENSAJE AUTOMATICO))</v>
      </c>
      <c r="GQ18" s="131" t="s">
        <v>264</v>
      </c>
    </row>
    <row r="19" spans="1:199" ht="15.75" thickBot="1" x14ac:dyDescent="0.3">
      <c r="A19" s="98">
        <v>113</v>
      </c>
      <c r="B19" s="99">
        <v>44799</v>
      </c>
      <c r="C19" s="152" t="s">
        <v>231</v>
      </c>
      <c r="D19" s="101" t="s">
        <v>380</v>
      </c>
      <c r="E19" s="102" t="str">
        <f>LEFT(Tabla1[[#This Row],[Clientes]],1)</f>
        <v>A</v>
      </c>
      <c r="F19" s="103"/>
      <c r="G19" s="104" t="s">
        <v>8</v>
      </c>
      <c r="H19" s="22" t="str">
        <f>VLOOKUP(Tabla1[[#This Row],[Clientes]],'[2]Facturacion 2025'!B$8:B$213,1,0)</f>
        <v>Astuhuaman de Ubaldo Melania Paulina</v>
      </c>
      <c r="I19" s="133" t="s">
        <v>251</v>
      </c>
      <c r="J19" s="106" t="s">
        <v>284</v>
      </c>
      <c r="K19" s="5">
        <v>27955777498</v>
      </c>
      <c r="L19" s="181" t="s">
        <v>381</v>
      </c>
      <c r="M19" s="179" t="s">
        <v>381</v>
      </c>
      <c r="N19" s="104" t="str">
        <f>+Tabla1[[#This Row],[Clientes]]</f>
        <v>ASTUHUAMAN DE UBALDO MELANIA PAULINA</v>
      </c>
      <c r="O19" s="108" t="s">
        <v>34</v>
      </c>
      <c r="P19" s="107" t="str">
        <f>RIGHT(Tabla1[[#This Row],[CUIT]],1)</f>
        <v>8</v>
      </c>
      <c r="Q19" s="16" t="s">
        <v>2</v>
      </c>
      <c r="R19" s="102" t="s">
        <v>269</v>
      </c>
      <c r="S19" s="180" t="s">
        <v>34</v>
      </c>
      <c r="T19" s="108" t="s">
        <v>34</v>
      </c>
      <c r="U19" s="167" t="s">
        <v>34</v>
      </c>
      <c r="V19" s="136" t="s">
        <v>34</v>
      </c>
      <c r="W19" s="167" t="s">
        <v>240</v>
      </c>
      <c r="X19" s="214" t="s">
        <v>382</v>
      </c>
      <c r="Y19" s="104" t="s">
        <v>242</v>
      </c>
      <c r="Z19" s="118" t="s">
        <v>34</v>
      </c>
      <c r="AA19" s="170" t="s">
        <v>34</v>
      </c>
      <c r="AB19" s="170" t="s">
        <v>34</v>
      </c>
      <c r="AC19" s="111" t="s">
        <v>383</v>
      </c>
      <c r="AD19" t="s">
        <v>34</v>
      </c>
      <c r="AE19" s="170" t="s">
        <v>34</v>
      </c>
      <c r="AF19" s="170" t="s">
        <v>34</v>
      </c>
      <c r="AG19" s="215" t="s">
        <v>34</v>
      </c>
      <c r="AH19" s="170" t="s">
        <v>34</v>
      </c>
      <c r="AI19" s="170" t="s">
        <v>34</v>
      </c>
      <c r="AJ19" s="156" t="s">
        <v>384</v>
      </c>
      <c r="AK19" s="159" t="s">
        <v>247</v>
      </c>
      <c r="AL19" s="160">
        <v>20820</v>
      </c>
      <c r="AM19" s="161">
        <f>MONTH(Tabla1[[#This Row],[Fecha de Nacimiento]])</f>
        <v>12</v>
      </c>
      <c r="AN19" s="115" t="s">
        <v>248</v>
      </c>
      <c r="AO19" s="116" t="s">
        <v>34</v>
      </c>
      <c r="AP19" s="118" t="s">
        <v>34</v>
      </c>
      <c r="AQ19" s="118" t="s">
        <v>34</v>
      </c>
      <c r="AR19" s="118" t="s">
        <v>34</v>
      </c>
      <c r="AS19" s="118" t="s">
        <v>34</v>
      </c>
      <c r="AT19" s="22" t="s">
        <v>251</v>
      </c>
      <c r="AU19" s="174" t="s">
        <v>34</v>
      </c>
      <c r="AV19" s="167" t="s">
        <v>385</v>
      </c>
      <c r="AW19" s="118" t="s">
        <v>34</v>
      </c>
      <c r="AX19" s="118" t="s">
        <v>34</v>
      </c>
      <c r="AY19" s="118" t="s">
        <v>34</v>
      </c>
      <c r="AZ19" s="118" t="s">
        <v>34</v>
      </c>
      <c r="BA19" s="118" t="s">
        <v>34</v>
      </c>
      <c r="BB19" s="104" t="s">
        <v>298</v>
      </c>
      <c r="BC19" s="118" t="s">
        <v>34</v>
      </c>
      <c r="BD19" s="156" t="s">
        <v>299</v>
      </c>
      <c r="BE19" s="104" t="s">
        <v>255</v>
      </c>
      <c r="BF19" s="118" t="s">
        <v>34</v>
      </c>
      <c r="BG19" s="118" t="s">
        <v>34</v>
      </c>
      <c r="BH19" s="118" t="s">
        <v>34</v>
      </c>
      <c r="BI19" s="118" t="s">
        <v>34</v>
      </c>
      <c r="BJ19" s="104">
        <v>5</v>
      </c>
      <c r="BK19" s="104">
        <v>6</v>
      </c>
      <c r="BL19" s="104">
        <v>7</v>
      </c>
      <c r="BM19" s="104">
        <v>8</v>
      </c>
      <c r="BN19" s="104" t="s">
        <v>277</v>
      </c>
      <c r="BO19" s="118" t="s">
        <v>34</v>
      </c>
      <c r="BP19" s="121">
        <v>0</v>
      </c>
      <c r="BQ19" s="121">
        <v>0.01</v>
      </c>
      <c r="BR19" s="121">
        <v>0</v>
      </c>
      <c r="BS19" s="121">
        <v>0</v>
      </c>
      <c r="BT19" s="121">
        <v>0</v>
      </c>
      <c r="BU19" s="121">
        <v>0</v>
      </c>
      <c r="BV19" s="121">
        <v>0</v>
      </c>
      <c r="BW19" s="121">
        <v>0</v>
      </c>
      <c r="BX19" s="121">
        <v>0</v>
      </c>
      <c r="BY19" s="121">
        <v>0</v>
      </c>
      <c r="BZ19" s="121">
        <v>0</v>
      </c>
      <c r="CA19" s="121">
        <v>0</v>
      </c>
      <c r="CB19" s="121">
        <v>0</v>
      </c>
      <c r="CC19" s="121">
        <v>0</v>
      </c>
      <c r="CD19" s="121">
        <v>0</v>
      </c>
      <c r="CE19" s="121">
        <v>0</v>
      </c>
      <c r="CF19" s="121">
        <v>0</v>
      </c>
      <c r="CG19" s="121">
        <v>0</v>
      </c>
      <c r="CH19" s="121">
        <v>0</v>
      </c>
      <c r="CI19" s="121">
        <v>0</v>
      </c>
      <c r="CJ19" s="121">
        <v>0</v>
      </c>
      <c r="CK19" s="121">
        <v>0</v>
      </c>
      <c r="CL19" s="121">
        <v>0</v>
      </c>
      <c r="CM19" s="121">
        <v>0</v>
      </c>
      <c r="CN19" s="122">
        <v>1</v>
      </c>
      <c r="CO19" s="122">
        <v>14</v>
      </c>
      <c r="CP19" s="122">
        <v>1</v>
      </c>
      <c r="CQ19" s="122">
        <v>1</v>
      </c>
      <c r="CR19" s="122">
        <v>1</v>
      </c>
      <c r="CS19" s="122">
        <v>1</v>
      </c>
      <c r="CT19" s="122">
        <v>1</v>
      </c>
      <c r="CU19" s="122">
        <v>1</v>
      </c>
      <c r="CV19" s="122">
        <v>1</v>
      </c>
      <c r="CW19" s="122">
        <v>1</v>
      </c>
      <c r="CX19" s="122">
        <v>1</v>
      </c>
      <c r="CY19" s="122">
        <v>1</v>
      </c>
      <c r="CZ19" s="122">
        <v>1</v>
      </c>
      <c r="DA19" s="122">
        <v>1</v>
      </c>
      <c r="DB19" s="122">
        <v>1</v>
      </c>
      <c r="DC19" s="122">
        <v>1</v>
      </c>
      <c r="DD19" s="122">
        <v>1</v>
      </c>
      <c r="DE19" s="122">
        <v>1</v>
      </c>
      <c r="DF19" s="122">
        <v>1</v>
      </c>
      <c r="DG19" s="122">
        <v>1</v>
      </c>
      <c r="DH19" s="122">
        <v>1</v>
      </c>
      <c r="DI19" s="122">
        <v>1</v>
      </c>
      <c r="DJ19" s="122">
        <v>1</v>
      </c>
      <c r="DK19" s="122">
        <v>1</v>
      </c>
      <c r="DL19" s="123">
        <v>0</v>
      </c>
      <c r="DM19" s="123">
        <v>0</v>
      </c>
      <c r="DN19" s="123">
        <v>0</v>
      </c>
      <c r="DO19" s="123">
        <v>0</v>
      </c>
      <c r="DP19" s="123">
        <v>0</v>
      </c>
      <c r="DQ19" s="123">
        <v>0</v>
      </c>
      <c r="DR19" s="123">
        <v>0</v>
      </c>
      <c r="DS19" s="123">
        <v>0</v>
      </c>
      <c r="DT19" s="123">
        <v>0</v>
      </c>
      <c r="DU19" s="123">
        <v>0</v>
      </c>
      <c r="DV19" s="123">
        <v>0</v>
      </c>
      <c r="DW19" s="123">
        <v>0</v>
      </c>
      <c r="DX19" s="123">
        <v>0</v>
      </c>
      <c r="DY19" s="123">
        <v>0</v>
      </c>
      <c r="DZ19" s="123">
        <v>0</v>
      </c>
      <c r="EA19" s="123">
        <v>0</v>
      </c>
      <c r="EB19" s="123">
        <v>0</v>
      </c>
      <c r="EC19" s="123">
        <v>0</v>
      </c>
      <c r="ED19" s="123">
        <v>0</v>
      </c>
      <c r="EE19" s="123">
        <v>0</v>
      </c>
      <c r="EF19" s="123">
        <v>0</v>
      </c>
      <c r="EG19" s="123">
        <v>0</v>
      </c>
      <c r="EH19" s="123">
        <v>0</v>
      </c>
      <c r="EI19" s="123">
        <v>0</v>
      </c>
      <c r="EJ19" s="123">
        <v>0</v>
      </c>
      <c r="EK19" s="123">
        <v>0</v>
      </c>
      <c r="EL19" s="123">
        <v>0</v>
      </c>
      <c r="EM19" s="123">
        <v>0</v>
      </c>
      <c r="EN19" s="123">
        <v>0</v>
      </c>
      <c r="EO19" s="123">
        <v>0</v>
      </c>
      <c r="EP19" s="123">
        <v>0</v>
      </c>
      <c r="EQ19" s="123">
        <v>0</v>
      </c>
      <c r="ER19" s="123">
        <v>0</v>
      </c>
      <c r="ES19" s="123">
        <v>0</v>
      </c>
      <c r="ET19" s="123">
        <v>0</v>
      </c>
      <c r="EU19" s="123">
        <v>0</v>
      </c>
      <c r="EV19" s="123">
        <v>0</v>
      </c>
      <c r="EW19" s="123">
        <v>0</v>
      </c>
      <c r="EX19" s="123">
        <v>0</v>
      </c>
      <c r="EY19" s="123">
        <v>0</v>
      </c>
      <c r="EZ19" s="123">
        <v>0</v>
      </c>
      <c r="FA19" s="123">
        <v>0</v>
      </c>
      <c r="FB19" s="123">
        <v>0</v>
      </c>
      <c r="FC19" s="123">
        <v>0</v>
      </c>
      <c r="FD19" s="123">
        <v>0</v>
      </c>
      <c r="FE19" s="123">
        <v>0</v>
      </c>
      <c r="FF19" s="123">
        <v>0</v>
      </c>
      <c r="FG19" s="123">
        <v>0</v>
      </c>
      <c r="FH19" s="118" t="s">
        <v>34</v>
      </c>
      <c r="FI19" s="118" t="s">
        <v>34</v>
      </c>
      <c r="FJ19" s="118" t="s">
        <v>34</v>
      </c>
      <c r="FK19" s="118" t="s">
        <v>34</v>
      </c>
      <c r="FL19" s="175" t="s">
        <v>34</v>
      </c>
      <c r="FM19" s="118" t="s">
        <v>34</v>
      </c>
      <c r="FN19" s="118"/>
      <c r="FO19" s="118" t="s">
        <v>34</v>
      </c>
      <c r="FP19" s="104" t="str">
        <f>IF(Tabla1[[#This Row],[Clave Agip]]="","",+Tabla1[[#This Row],[Clave Agip]])</f>
        <v/>
      </c>
      <c r="FQ19" s="124" t="s">
        <v>34</v>
      </c>
      <c r="FR19" s="104">
        <f>+Tabla1[[#This Row],[CUIT]]</f>
        <v>27955777498</v>
      </c>
      <c r="FS19" s="104" t="str">
        <f>+Tabla1[[#This Row],[Clave Fiscal]]</f>
        <v>Melania279557</v>
      </c>
      <c r="FT19" s="104" t="str">
        <f>+Tabla1[[#This Row],[Clave CIT]]</f>
        <v>Melania279557</v>
      </c>
      <c r="FU19" s="125" t="s">
        <v>261</v>
      </c>
      <c r="FV19" s="125" t="s">
        <v>261</v>
      </c>
      <c r="FW19" s="125" t="s">
        <v>261</v>
      </c>
      <c r="FX19" s="176">
        <v>239426.31</v>
      </c>
      <c r="FY19" s="125" t="s">
        <v>261</v>
      </c>
      <c r="FZ19" s="125" t="s">
        <v>261</v>
      </c>
      <c r="GA19" s="125" t="s">
        <v>261</v>
      </c>
      <c r="GB19" s="125" t="s">
        <v>261</v>
      </c>
      <c r="GC19" s="125" t="s">
        <v>261</v>
      </c>
      <c r="GD19" s="125" t="s">
        <v>261</v>
      </c>
      <c r="GE19" s="125" t="s">
        <v>261</v>
      </c>
      <c r="GF19" s="126" t="s">
        <v>251</v>
      </c>
      <c r="GG19" s="128">
        <v>3519750.9099999997</v>
      </c>
      <c r="GH19" s="128" t="s">
        <v>251</v>
      </c>
      <c r="GI19" s="128" t="s">
        <v>348</v>
      </c>
      <c r="GJ19" s="146">
        <v>94805683</v>
      </c>
      <c r="GK19" s="130">
        <v>7900474</v>
      </c>
      <c r="GL19" s="147" t="s">
        <v>386</v>
      </c>
      <c r="GM19"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Melania, adjunto envío la deuda al 30/04/2024, si no tenes deuda figura (sin deuda), al mismo tiempo les estamos mandando un PDF para que visualicen su deuda  y el detalle de cada concepto. En Deuda Monotributo / Autónomo $ 239426.31. En Deuda     Ingresos Brutos $ ( Sin Deuda ). En Deuda     Inmobiliario $ ( Sin Deuda ). En Deuda     Automotor $ ( Sin Deuda ). En caso de querer pagar todo Junto nos envían un mail o por Whatapp el aviso y les enviaremos un VEP; En caso de querer meterlo en un Plan de Pagos nos deberían de avisar y nos contactaremos para decirles en cuantas cuotas se puede hacer.     Te paso también la Clave de Afip     Melania279557     y la clave de ARBA(cit)      Melania279557     para que las tengas Actualizadas. Abrazos. Sin mas saluda atentamente   Cdor. Mariano Morteo. (ESTE MAIL ES AUTOMATICO)</v>
      </c>
      <c r="GN19" s="22" t="s">
        <v>34</v>
      </c>
      <c r="GO19" s="148" t="s">
        <v>281</v>
      </c>
      <c r="GP19"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Melania,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'A' y El monto facturado durante 2024-06a 2025-06 fue de $ 3519750.91 lo que te dejo luego de LA RECATEGORIZACIÓN en la CATEGORÍA 'A' Tu ACTIVIDAD es de 'Ventas' lo que hace que tu categoría máxima sea la 'K' pudiendo facturar un máximo anual de $ 94805683 este monto te permitirá facturar un promedio de $ 7900474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 Sin Deuda ) AUTOMOTOR $ ( Sin Deuda ) MONOTRIBUTO $ 239426.31 Cualquier duda que tengas, te pido te comuniques con nosotros para acláratelas. Muchas Gracias.          Te paso también la Clave de Afip     Melania279557     y la clave de ARBA(cit)      Melania279557     para que las tengas Actualizadas, si te pide cambiarlas avísanos por favor. Abrazos            ((ESTE ES UN MENSAJE AUTOMATICO))</v>
      </c>
      <c r="GQ19" s="131" t="s">
        <v>264</v>
      </c>
    </row>
    <row r="20" spans="1:199" ht="15.75" thickBot="1" x14ac:dyDescent="0.3">
      <c r="A20" s="98">
        <v>114</v>
      </c>
      <c r="B20" s="99">
        <v>45402</v>
      </c>
      <c r="C20" s="216" t="s">
        <v>387</v>
      </c>
      <c r="D20" s="217" t="s">
        <v>388</v>
      </c>
      <c r="E20" s="1" t="str">
        <f>LEFT(Tabla1[[#This Row],[Clientes]],1)</f>
        <v>A</v>
      </c>
      <c r="F20" s="103"/>
      <c r="G20" s="104" t="s">
        <v>8</v>
      </c>
      <c r="H20" s="22" t="str">
        <f>VLOOKUP(Tabla1[[#This Row],[Clientes]],'[2]Facturacion 2025'!B$8:B$213,1,0)</f>
        <v>AUTUORI MARTIN</v>
      </c>
      <c r="I20" s="133" t="s">
        <v>278</v>
      </c>
      <c r="J20" s="134" t="s">
        <v>234</v>
      </c>
      <c r="K20" s="5">
        <v>20319153994</v>
      </c>
      <c r="L20" s="154" t="s">
        <v>389</v>
      </c>
      <c r="M20" s="98">
        <v>915399</v>
      </c>
      <c r="N20" s="104" t="str">
        <f>+Tabla1[[#This Row],[Clientes]]</f>
        <v>AUTUORI MARTIN</v>
      </c>
      <c r="O20" s="98"/>
      <c r="P20" s="107" t="str">
        <f>RIGHT(Tabla1[[#This Row],[CUIT]],1)</f>
        <v>4</v>
      </c>
      <c r="Q20" s="98" t="s">
        <v>2</v>
      </c>
      <c r="R20" s="104" t="s">
        <v>269</v>
      </c>
      <c r="S20" s="104"/>
      <c r="T20" s="98"/>
      <c r="U20" s="98"/>
      <c r="V20" s="98"/>
      <c r="W20" s="181"/>
      <c r="X20" s="218" t="s">
        <v>390</v>
      </c>
      <c r="Y20" s="219"/>
      <c r="Z20" s="104"/>
      <c r="AA20" s="219"/>
      <c r="AB20" s="219"/>
      <c r="AC20" s="204" t="s">
        <v>391</v>
      </c>
      <c r="AE20" s="156"/>
      <c r="AF20" s="156"/>
      <c r="AG20" s="112"/>
      <c r="AH20" s="220"/>
      <c r="AI20" s="221"/>
      <c r="AJ20" s="104"/>
      <c r="AK20" s="156" t="s">
        <v>272</v>
      </c>
      <c r="AL20" s="222">
        <v>31303</v>
      </c>
      <c r="AM20" s="223">
        <f>MONTH(Tabla1[[#This Row],[Fecha de Nacimiento]])</f>
        <v>9</v>
      </c>
      <c r="AN20" s="159"/>
      <c r="AO20" s="224"/>
      <c r="AP20" s="156"/>
      <c r="AQ20" s="225"/>
      <c r="AR20" s="104"/>
      <c r="AS20" s="104"/>
      <c r="AT20" s="22" t="s">
        <v>251</v>
      </c>
      <c r="AU20" s="112"/>
      <c r="AV20" s="212"/>
      <c r="AW20" s="104"/>
      <c r="AX20" s="156"/>
      <c r="AY20" s="156"/>
      <c r="AZ20" s="156"/>
      <c r="BA20" s="156"/>
      <c r="BB20" s="104">
        <f>+Tabla1[[#This Row],[Seguridad e Higiene]]</f>
        <v>0</v>
      </c>
      <c r="BC20" s="104"/>
      <c r="BD20" s="104"/>
      <c r="BE20" s="104"/>
      <c r="BF20" s="104"/>
      <c r="BG20" s="104"/>
      <c r="BH20" s="104"/>
      <c r="BI20" s="104"/>
      <c r="BJ20" s="104"/>
      <c r="BK20" s="104"/>
      <c r="BL20" s="104"/>
      <c r="BM20" s="104"/>
      <c r="BN20" s="104"/>
      <c r="BO20" s="104"/>
      <c r="BP20" s="226"/>
      <c r="BQ20" s="226"/>
      <c r="BR20" s="226"/>
      <c r="BS20" s="226"/>
      <c r="BT20" s="226"/>
      <c r="BU20" s="226"/>
      <c r="BV20" s="226"/>
      <c r="BW20" s="226"/>
      <c r="BX20" s="226"/>
      <c r="BY20" s="226"/>
      <c r="BZ20" s="226"/>
      <c r="CA20" s="226"/>
      <c r="CB20" s="226"/>
      <c r="CC20" s="226"/>
      <c r="CD20" s="226"/>
      <c r="CE20" s="226"/>
      <c r="CF20" s="226"/>
      <c r="CG20" s="226"/>
      <c r="CH20" s="226"/>
      <c r="CI20" s="226"/>
      <c r="CJ20" s="226"/>
      <c r="CK20" s="226"/>
      <c r="CL20" s="226"/>
      <c r="CM20" s="226"/>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c r="DN20" s="102"/>
      <c r="DO20" s="102"/>
      <c r="DP20" s="102"/>
      <c r="DQ20" s="102"/>
      <c r="DR20" s="102"/>
      <c r="DS20" s="102"/>
      <c r="DT20" s="102"/>
      <c r="DU20" s="102"/>
      <c r="DV20" s="102"/>
      <c r="DW20" s="102"/>
      <c r="DX20" s="102"/>
      <c r="DY20" s="102"/>
      <c r="DZ20" s="102"/>
      <c r="EA20" s="102"/>
      <c r="EB20" s="102"/>
      <c r="EC20" s="102"/>
      <c r="ED20" s="102"/>
      <c r="EE20" s="102"/>
      <c r="EF20" s="102"/>
      <c r="EG20" s="102"/>
      <c r="EH20" s="102"/>
      <c r="EI20" s="102"/>
      <c r="EJ20" s="102"/>
      <c r="EK20" s="102"/>
      <c r="EL20" s="102"/>
      <c r="EM20" s="102"/>
      <c r="EN20" s="102"/>
      <c r="EO20" s="102"/>
      <c r="EP20" s="102"/>
      <c r="EQ20" s="102"/>
      <c r="ER20" s="102"/>
      <c r="ES20" s="102"/>
      <c r="ET20" s="102"/>
      <c r="EU20" s="102"/>
      <c r="EV20" s="102"/>
      <c r="EW20" s="102"/>
      <c r="EX20" s="102"/>
      <c r="EY20" s="102"/>
      <c r="EZ20" s="102"/>
      <c r="FA20" s="102"/>
      <c r="FB20" s="102"/>
      <c r="FC20" s="102"/>
      <c r="FD20" s="102"/>
      <c r="FE20" s="102"/>
      <c r="FF20" s="102"/>
      <c r="FG20" s="102"/>
      <c r="FH20" s="104"/>
      <c r="FI20" s="104"/>
      <c r="FJ20" s="104"/>
      <c r="FK20" s="104"/>
      <c r="FL20" s="98"/>
      <c r="FM20" s="104"/>
      <c r="FN20" s="104"/>
      <c r="FO20" s="104"/>
      <c r="FP20" s="104"/>
      <c r="FQ20" s="102"/>
      <c r="FR20" s="104"/>
      <c r="FS20" s="104"/>
      <c r="FT20" s="104"/>
      <c r="FU20" s="125" t="s">
        <v>261</v>
      </c>
      <c r="FV20" s="125" t="s">
        <v>261</v>
      </c>
      <c r="FW20" s="125" t="s">
        <v>261</v>
      </c>
      <c r="FX20" s="125">
        <v>271651.46999999997</v>
      </c>
      <c r="FY20" s="125" t="s">
        <v>261</v>
      </c>
      <c r="FZ20" s="125" t="s">
        <v>261</v>
      </c>
      <c r="GA20" s="125" t="s">
        <v>261</v>
      </c>
      <c r="GB20" s="125" t="s">
        <v>261</v>
      </c>
      <c r="GC20" s="125" t="s">
        <v>261</v>
      </c>
      <c r="GD20" s="125" t="s">
        <v>261</v>
      </c>
      <c r="GE20" s="125" t="s">
        <v>261</v>
      </c>
      <c r="GF20" s="126" t="s">
        <v>251</v>
      </c>
      <c r="GG20" s="128">
        <v>27189766.370000001</v>
      </c>
      <c r="GH20" s="128" t="s">
        <v>318</v>
      </c>
      <c r="GI20" s="128" t="s">
        <v>279</v>
      </c>
      <c r="GJ20" s="146">
        <v>61344854</v>
      </c>
      <c r="GK20" s="130">
        <v>5112071</v>
      </c>
      <c r="GL20" s="227" t="s">
        <v>392</v>
      </c>
      <c r="GM20"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Martin, adjunto envío la deuda al 30/04/2024, si no tenes deuda figura (sin deuda), al mismo tiempo les estamos mandando un PDF para que visualicen su deuda  y el detalle de cada concepto. En Deuda Monotributo / Autónomo $ 271651.47. En Deuda     Ingresos Brutos $ ( Sin Deuda ). En Deuda     Inmobiliario $ ( Sin Deuda ). En Deuda     Automotor $ ( Sin Deuda ). En caso de querer pagar todo Junto nos envían un mail o por Whatapp el aviso y les enviaremos un VEP; En caso de querer meterlo en un Plan de Pagos nos deberían de avisar y nos contactaremos para decirles en cuantas cuotas se puede hacer.     Te paso también la Clave de Afip     Martin2031     y la clave de ARBA(cit)      915399     para que las tengas Actualizadas. Abrazos. Sin mas saluda atentamente   Cdor. Mariano Morteo. (ESTE MAIL ES AUTOMATICO)</v>
      </c>
      <c r="GN20" s="22" t="s">
        <v>34</v>
      </c>
      <c r="GO20" s="148" t="s">
        <v>281</v>
      </c>
      <c r="GP20"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Martin,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'D' y El monto facturado durante 2024-06a 2025-06 fue de $ 27189766.37 lo que te dejo luego de LA RECATEGORIZACIÓN en la CATEGORÍA 'F' Tu ACTIVIDAD es de 'Servicios' lo que hace que tu categoría máxima sea la 'H' pudiendo facturar un máximo anual de $ 61344854 este monto te permitirá facturar un promedio de $ 5112071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 Sin Deuda ) AUTOMOTOR $ ( Sin Deuda ) MONOTRIBUTO $ 271651.47 Cualquier duda que tengas, te pido te comuniques con nosotros para acláratelas. Muchas Gracias.          Te paso también la Clave de Afip     Martin2031     y la clave de ARBA(cit)      915399     para que las tengas Actualizadas, si te pide cambiarlas avísanos por favor. Abrazos            ((ESTE ES UN MENSAJE AUTOMATICO))</v>
      </c>
      <c r="GQ20" s="131" t="s">
        <v>264</v>
      </c>
    </row>
    <row r="21" spans="1:199" ht="15.75" thickBot="1" x14ac:dyDescent="0.3">
      <c r="A21" s="98">
        <v>115</v>
      </c>
      <c r="B21" s="99">
        <v>43313</v>
      </c>
      <c r="C21" s="100" t="s">
        <v>393</v>
      </c>
      <c r="D21" s="101" t="s">
        <v>394</v>
      </c>
      <c r="E21" s="102" t="str">
        <f>LEFT(Tabla1[[#This Row],[Clientes]],1)</f>
        <v>A</v>
      </c>
      <c r="F21" s="103"/>
      <c r="G21" s="104" t="s">
        <v>8</v>
      </c>
      <c r="H21" s="22" t="str">
        <f>VLOOKUP(Tabla1[[#This Row],[Clientes]],'[2]Facturacion 2025'!B$8:B$213,1,0)</f>
        <v>Azocar Sepulveda Marcelo Edmundo</v>
      </c>
      <c r="I21" s="133" t="s">
        <v>251</v>
      </c>
      <c r="J21" s="134" t="s">
        <v>234</v>
      </c>
      <c r="K21" s="5">
        <v>20927108705</v>
      </c>
      <c r="L21" s="228" t="s">
        <v>395</v>
      </c>
      <c r="M21" s="22">
        <v>108705</v>
      </c>
      <c r="N21" s="104" t="str">
        <f>+Tabla1[[#This Row],[Clientes]]</f>
        <v>AZOCAR SEPULVEDA MARCELO EDMUNDO</v>
      </c>
      <c r="O21" s="108" t="s">
        <v>34</v>
      </c>
      <c r="P21" s="107" t="str">
        <f>RIGHT(Tabla1[[#This Row],[CUIT]],1)</f>
        <v>5</v>
      </c>
      <c r="Q21" s="28" t="s">
        <v>16</v>
      </c>
      <c r="R21" s="102" t="s">
        <v>269</v>
      </c>
      <c r="S21" s="22" t="s">
        <v>34</v>
      </c>
      <c r="T21" s="108" t="s">
        <v>34</v>
      </c>
      <c r="U21" s="108" t="s">
        <v>34</v>
      </c>
      <c r="V21" s="136" t="s">
        <v>34</v>
      </c>
      <c r="W21" s="22">
        <v>12345678</v>
      </c>
      <c r="X21" s="229" t="s">
        <v>396</v>
      </c>
      <c r="Y21" s="104" t="s">
        <v>242</v>
      </c>
      <c r="Z21" s="22" t="s">
        <v>34</v>
      </c>
      <c r="AA21" s="115" t="s">
        <v>243</v>
      </c>
      <c r="AB21" s="115" t="s">
        <v>243</v>
      </c>
      <c r="AC21" s="111" t="s">
        <v>397</v>
      </c>
      <c r="AD21" t="s">
        <v>34</v>
      </c>
      <c r="AE21" s="139" t="s">
        <v>34</v>
      </c>
      <c r="AF21" s="139" t="s">
        <v>34</v>
      </c>
      <c r="AG21" s="228" t="s">
        <v>5</v>
      </c>
      <c r="AH21" s="124" t="s">
        <v>34</v>
      </c>
      <c r="AI21" s="124" t="s">
        <v>34</v>
      </c>
      <c r="AJ21" s="22" t="s">
        <v>34</v>
      </c>
      <c r="AK21" s="115" t="s">
        <v>247</v>
      </c>
      <c r="AL21" s="113">
        <v>25543</v>
      </c>
      <c r="AM21" s="114">
        <f>MONTH(Tabla1[[#This Row],[Fecha de Nacimiento]])</f>
        <v>12</v>
      </c>
      <c r="AN21" s="115" t="s">
        <v>248</v>
      </c>
      <c r="AO21" s="116" t="s">
        <v>398</v>
      </c>
      <c r="AP21" s="22" t="s">
        <v>34</v>
      </c>
      <c r="AQ21" s="22" t="s">
        <v>399</v>
      </c>
      <c r="AR21" s="22" t="s">
        <v>34</v>
      </c>
      <c r="AS21" s="22" t="s">
        <v>34</v>
      </c>
      <c r="AT21" s="22" t="s">
        <v>251</v>
      </c>
      <c r="AU21" s="116" t="s">
        <v>34</v>
      </c>
      <c r="AV21" s="119" t="s">
        <v>400</v>
      </c>
      <c r="AW21" s="22" t="s">
        <v>34</v>
      </c>
      <c r="AX21" s="22" t="s">
        <v>34</v>
      </c>
      <c r="AY21" s="22" t="s">
        <v>34</v>
      </c>
      <c r="AZ21" s="22" t="s">
        <v>34</v>
      </c>
      <c r="BA21" s="22" t="s">
        <v>34</v>
      </c>
      <c r="BB21" s="104" t="s">
        <v>401</v>
      </c>
      <c r="BC21" s="22" t="s">
        <v>34</v>
      </c>
      <c r="BD21" s="104" t="s">
        <v>402</v>
      </c>
      <c r="BE21" s="104" t="s">
        <v>255</v>
      </c>
      <c r="BF21" s="22" t="s">
        <v>34</v>
      </c>
      <c r="BG21" s="22" t="s">
        <v>34</v>
      </c>
      <c r="BH21" s="22" t="s">
        <v>34</v>
      </c>
      <c r="BI21" s="22" t="s">
        <v>34</v>
      </c>
      <c r="BJ21" s="104">
        <v>5</v>
      </c>
      <c r="BK21" s="104">
        <v>6</v>
      </c>
      <c r="BL21" s="104">
        <v>7</v>
      </c>
      <c r="BM21" s="104">
        <v>8</v>
      </c>
      <c r="BN21" s="104" t="s">
        <v>277</v>
      </c>
      <c r="BO21" s="22" t="s">
        <v>34</v>
      </c>
      <c r="BP21" s="121">
        <v>0</v>
      </c>
      <c r="BQ21" s="121">
        <v>0.01</v>
      </c>
      <c r="BR21" s="121">
        <v>0</v>
      </c>
      <c r="BS21" s="121">
        <v>0</v>
      </c>
      <c r="BT21" s="121">
        <v>0</v>
      </c>
      <c r="BU21" s="121">
        <v>0</v>
      </c>
      <c r="BV21" s="121">
        <v>0</v>
      </c>
      <c r="BW21" s="121">
        <v>0</v>
      </c>
      <c r="BX21" s="121">
        <v>0</v>
      </c>
      <c r="BY21" s="121">
        <v>0</v>
      </c>
      <c r="BZ21" s="121">
        <v>0</v>
      </c>
      <c r="CA21" s="121">
        <v>0</v>
      </c>
      <c r="CB21" s="121">
        <v>0</v>
      </c>
      <c r="CC21" s="121">
        <v>0</v>
      </c>
      <c r="CD21" s="121">
        <v>0</v>
      </c>
      <c r="CE21" s="121">
        <v>0</v>
      </c>
      <c r="CF21" s="121">
        <v>0</v>
      </c>
      <c r="CG21" s="121">
        <v>0</v>
      </c>
      <c r="CH21" s="121">
        <v>0</v>
      </c>
      <c r="CI21" s="121">
        <v>0</v>
      </c>
      <c r="CJ21" s="121">
        <v>0</v>
      </c>
      <c r="CK21" s="121">
        <v>0</v>
      </c>
      <c r="CL21" s="121">
        <v>0</v>
      </c>
      <c r="CM21" s="121">
        <v>0</v>
      </c>
      <c r="CN21" s="122">
        <v>1</v>
      </c>
      <c r="CO21" s="122">
        <v>14</v>
      </c>
      <c r="CP21" s="122">
        <v>1</v>
      </c>
      <c r="CQ21" s="122">
        <v>1</v>
      </c>
      <c r="CR21" s="122">
        <v>1</v>
      </c>
      <c r="CS21" s="122">
        <v>1</v>
      </c>
      <c r="CT21" s="122">
        <v>1</v>
      </c>
      <c r="CU21" s="122">
        <v>1</v>
      </c>
      <c r="CV21" s="122">
        <v>1</v>
      </c>
      <c r="CW21" s="122">
        <v>1</v>
      </c>
      <c r="CX21" s="122">
        <v>1</v>
      </c>
      <c r="CY21" s="122">
        <v>1</v>
      </c>
      <c r="CZ21" s="122">
        <v>1</v>
      </c>
      <c r="DA21" s="122">
        <v>1</v>
      </c>
      <c r="DB21" s="122">
        <v>1</v>
      </c>
      <c r="DC21" s="122">
        <v>1</v>
      </c>
      <c r="DD21" s="122">
        <v>1</v>
      </c>
      <c r="DE21" s="122">
        <v>1</v>
      </c>
      <c r="DF21" s="122">
        <v>1</v>
      </c>
      <c r="DG21" s="122">
        <v>1</v>
      </c>
      <c r="DH21" s="122">
        <v>1</v>
      </c>
      <c r="DI21" s="122">
        <v>1</v>
      </c>
      <c r="DJ21" s="122">
        <v>1</v>
      </c>
      <c r="DK21" s="122">
        <v>1</v>
      </c>
      <c r="DL21" s="123">
        <v>0</v>
      </c>
      <c r="DM21" s="123">
        <v>0</v>
      </c>
      <c r="DN21" s="123">
        <v>0</v>
      </c>
      <c r="DO21" s="123">
        <v>0</v>
      </c>
      <c r="DP21" s="123">
        <v>0</v>
      </c>
      <c r="DQ21" s="123">
        <v>0</v>
      </c>
      <c r="DR21" s="123">
        <v>0</v>
      </c>
      <c r="DS21" s="123">
        <v>0</v>
      </c>
      <c r="DT21" s="123">
        <v>0</v>
      </c>
      <c r="DU21" s="123">
        <v>0</v>
      </c>
      <c r="DV21" s="123">
        <v>0</v>
      </c>
      <c r="DW21" s="123">
        <v>0</v>
      </c>
      <c r="DX21" s="123">
        <v>0</v>
      </c>
      <c r="DY21" s="123">
        <v>0</v>
      </c>
      <c r="DZ21" s="123">
        <v>0</v>
      </c>
      <c r="EA21" s="123">
        <v>0</v>
      </c>
      <c r="EB21" s="123">
        <v>0</v>
      </c>
      <c r="EC21" s="123">
        <v>0</v>
      </c>
      <c r="ED21" s="123">
        <v>0</v>
      </c>
      <c r="EE21" s="123">
        <v>0</v>
      </c>
      <c r="EF21" s="123">
        <v>0</v>
      </c>
      <c r="EG21" s="123">
        <v>0</v>
      </c>
      <c r="EH21" s="123">
        <v>0</v>
      </c>
      <c r="EI21" s="123">
        <v>0</v>
      </c>
      <c r="EJ21" s="123">
        <v>0</v>
      </c>
      <c r="EK21" s="123">
        <v>0</v>
      </c>
      <c r="EL21" s="123">
        <v>0</v>
      </c>
      <c r="EM21" s="123">
        <v>0</v>
      </c>
      <c r="EN21" s="123">
        <v>0</v>
      </c>
      <c r="EO21" s="123">
        <v>0</v>
      </c>
      <c r="EP21" s="123">
        <v>0</v>
      </c>
      <c r="EQ21" s="123">
        <v>0</v>
      </c>
      <c r="ER21" s="123">
        <v>0</v>
      </c>
      <c r="ES21" s="123">
        <v>0</v>
      </c>
      <c r="ET21" s="123">
        <v>0</v>
      </c>
      <c r="EU21" s="123">
        <v>0</v>
      </c>
      <c r="EV21" s="123">
        <v>0</v>
      </c>
      <c r="EW21" s="123">
        <v>0</v>
      </c>
      <c r="EX21" s="123">
        <v>0</v>
      </c>
      <c r="EY21" s="123">
        <v>0</v>
      </c>
      <c r="EZ21" s="123">
        <v>0</v>
      </c>
      <c r="FA21" s="123">
        <v>0</v>
      </c>
      <c r="FB21" s="123">
        <v>0</v>
      </c>
      <c r="FC21" s="123">
        <v>0</v>
      </c>
      <c r="FD21" s="123">
        <v>0</v>
      </c>
      <c r="FE21" s="123">
        <v>0</v>
      </c>
      <c r="FF21" s="123">
        <v>0</v>
      </c>
      <c r="FG21" s="123">
        <v>0</v>
      </c>
      <c r="FH21" s="22" t="s">
        <v>34</v>
      </c>
      <c r="FI21" s="22" t="s">
        <v>34</v>
      </c>
      <c r="FJ21" s="22" t="s">
        <v>34</v>
      </c>
      <c r="FK21" s="22" t="s">
        <v>34</v>
      </c>
      <c r="FL21" s="108" t="s">
        <v>34</v>
      </c>
      <c r="FM21" s="22" t="s">
        <v>34</v>
      </c>
      <c r="FN21" s="22"/>
      <c r="FO21" s="145" t="s">
        <v>34</v>
      </c>
      <c r="FP21" s="104" t="str">
        <f>IF(Tabla1[[#This Row],[Clave Agip]]="","",+Tabla1[[#This Row],[Clave Agip]])</f>
        <v/>
      </c>
      <c r="FQ21" s="124" t="s">
        <v>34</v>
      </c>
      <c r="FR21" s="104">
        <f>+Tabla1[[#This Row],[CUIT]]</f>
        <v>20927108705</v>
      </c>
      <c r="FS21" s="104" t="str">
        <f>+Tabla1[[#This Row],[Clave Fiscal]]</f>
        <v>Marce19872</v>
      </c>
      <c r="FT21" s="104">
        <f>+Tabla1[[#This Row],[Clave CIT]]</f>
        <v>108705</v>
      </c>
      <c r="FU21" s="125" t="s">
        <v>261</v>
      </c>
      <c r="FV21" s="125" t="s">
        <v>261</v>
      </c>
      <c r="FW21" s="125" t="s">
        <v>261</v>
      </c>
      <c r="FX21" s="176">
        <v>3265.83</v>
      </c>
      <c r="FY21" s="125" t="s">
        <v>261</v>
      </c>
      <c r="FZ21" s="125" t="s">
        <v>261</v>
      </c>
      <c r="GA21" s="125" t="s">
        <v>261</v>
      </c>
      <c r="GB21" s="125" t="s">
        <v>261</v>
      </c>
      <c r="GC21" s="125" t="s">
        <v>261</v>
      </c>
      <c r="GD21" s="125" t="s">
        <v>261</v>
      </c>
      <c r="GE21" s="125" t="s">
        <v>261</v>
      </c>
      <c r="GF21" s="126" t="s">
        <v>251</v>
      </c>
      <c r="GG21" s="128">
        <v>11269200</v>
      </c>
      <c r="GH21" s="128" t="s">
        <v>347</v>
      </c>
      <c r="GI21" s="128" t="s">
        <v>279</v>
      </c>
      <c r="GJ21" s="146">
        <v>61344854</v>
      </c>
      <c r="GK21" s="130">
        <v>5112071</v>
      </c>
      <c r="GL21" s="128" t="s">
        <v>403</v>
      </c>
      <c r="GM21" s="22" t="str">
        <f>"Buenas tardes "&amp;Tabla1[[#This Row],[Nombre]]&amp;", adjunto envío la deuda al 30/04/2024, si no tenes deuda figura (sin deuda), al mismo tiempo les estamos mandando un PDF para que visualicen su deuda  y el detalle de cada concepto. En Deuda Monotributo / Autónomo $ "&amp;+Tabla1[[#This Row],[Monot. / Autónomo]]&amp;". En Deuda     Ingresos Brutos $ "&amp;+Tabla1[[#This Row],[Ingresos Brutos]]&amp;". En Deuda     Inmobiliario $ "&amp;+Tabla1[[#This Row],[Inmobiliario]]&amp;". En Deuda     Automotor $ "&amp;Tabla1[[#This Row],[Automotor]]&amp;". En caso de querer pagar todo Junto nos envían un mail o por Whatapp el aviso y les enviaremos un VEP"&amp;"; En caso de querer meterlo en un Plan de Pagos nos deberían de avisar y nos contactaremos para decirles en cuantas cuotas se puede hacer. "&amp;"    Te paso también la Clave de Afip     "&amp;Tabla1[[#This Row],[Clave Fiscal]]&amp;"     y la clave de ARBA(cit)      "&amp;Tabla1[[#This Row],[Clave CIT]]&amp;"     para que las tengas Actualizadas. Abrazos. Sin mas saluda atentamente   Cdor. Mariano Morteo. (ESTE MAIL ES AUTOMATICO)"</f>
        <v>Buenas tardes Gastón, adjunto envío la deuda al 30/04/2024, si no tenes deuda figura (sin deuda), al mismo tiempo les estamos mandando un PDF para que visualicen su deuda  y el detalle de cada concepto. En Deuda Monotributo / Autónomo $ 3265.83. En Deuda     Ingresos Brutos $ ( Sin Deuda ). En Deuda     Inmobiliario $ ( Sin Deuda ). En Deuda     Automotor $ ( Sin Deuda ). En caso de querer pagar todo Junto nos envían un mail o por Whatapp el aviso y les enviaremos un VEP; En caso de querer meterlo en un Plan de Pagos nos deberían de avisar y nos contactaremos para decirles en cuantas cuotas se puede hacer.     Te paso también la Clave de Afip     Marce19872     y la clave de ARBA(cit)      108705     para que las tengas Actualizadas. Abrazos. Sin mas saluda atentamente   Cdor. Mariano Morteo. (ESTE MAIL ES AUTOMATICO)</v>
      </c>
      <c r="GN21" s="22" t="s">
        <v>34</v>
      </c>
      <c r="GO21" s="148" t="s">
        <v>281</v>
      </c>
      <c r="GP21" s="22" t="str">
        <f>"ESTUDIO CONTABLE MORTEO,  Buenas Tardes "&amp;Tabla1[[#This Row],[Nombre]]&amp;", adjunto envió la credencial de Agosto de la RECATEGORIZACIÓN realizada, en ella veras cual es el Nuevo Valor que vas a pagar desde Agosto  en adelante,"&amp;"  hasta la próxima Recategorización de Enero 2026, también adjunto La "&amp;"Constancia de AFIP, F 184, F152, F960 (Data Fiscal) y en caso de que tengas deuda en el Monotributo te adjunto el PDF, "&amp;"el cual podes pagarlo todo junto o pedirnos que te armemos un plan de pago si es que queres pagarlo."&amp;", Tu CATEGORÍA ANTERIOR era la "&amp;"'"&amp;Tabla1[[#This Row],[CAT]]&amp;"'"&amp;" y El monto facturado durante 2024-06a 2025-06 fue de $ "&amp;Tabla1[[#This Row],[Monto facturado 2024]]&amp;" lo que te dejo luego de LA RECATEGORIZACIÓN en la CATEGORÍA "&amp;"'"&amp;Tabla1[[#This Row],[Categoria]]&amp;"'"&amp;" Tu ACTIVIDAD es de "&amp;"'"&amp;Tabla1[[#This Row],[tipo monotributo]]&amp;"'"&amp;" lo que hace que tu categoría máxima sea la "&amp;"'"&amp;Tabla1[[#This Row],[Tope]]&amp;"'"&amp;" pudiendo facturar un máximo anual de $ "&amp;Tabla1[[#This Row],[Tope de Categoria]]&amp;" este monto te permitirá facturar un promedio de $ "&amp;Tabla1[[#This Row],[Tope Categoria Mensual 2024]]&amp;" por mes, durante los próximos 12 meses"&amp;" . Si sos servicios podes pasar hasta la categoría K pagando el valor de dicha Categoría.---------"&amp;" Aprovecho para informarte la deuda que tenes en Monotributo y en Arba,"&amp;" si no tenes deuda va a figurar (sin deuda), en caso de que tengas deuda se te adjuntara el PDF con el detalle:"&amp;" DEUDA: INGRESOS BRUTOS $ "&amp;Tabla1[[#This Row],[Ingresos Brutos]]&amp;" INMOBILIARIO $ "&amp;Tabla1[[#This Row],[Inmobiliario]]&amp;" AUTOMOTOR $ "&amp;Tabla1[[#This Row],[Automotor]]&amp;" MONOTRIBUTO $ "&amp;Tabla1[[#This Row],[Monot. / Autónomo]]&amp;" Cualquier duda que tengas, te pido te comuniques con nosotros para acláratelas. Muchas Gracias.     "&amp;"     Te paso también la Clave de Afip     "&amp;Tabla1[[#This Row],[Clave Fiscal]]&amp;"     y la clave de ARBA(cit)      "&amp;Tabla1[[#This Row],[Clave CIT]]&amp;"     para que las tengas Actualizadas, si te pide cambiarlas avísanos por favor. Abrazos            ((ESTE ES UN MENSAJE AUTOMATICO))"</f>
        <v>ESTUDIO CONTABLE MORTEO,  Buenas Tardes Gastón, adjunto envió la credencial de Agosto de la RECATEGORIZACIÓN realizada, en ella veras cual es el Nuevo Valor que vas a pagar desde Agosto  en adelante,  hasta la próxima Recategorización de Enero 2026, también adjunto La Constancia de AFIP, F 184, F152, F960 (Data Fiscal) y en caso de que tengas deuda en el Monotributo te adjunto el PDF, el cual podes pagarlo todo junto o pedirnos que te armemos un plan de pago si es que queres pagarlo., Tu CATEGORÍA ANTERIOR era la 'A' y El monto facturado durante 2024-06a 2025-06 fue de $ 11269200 lo que te dejo luego de LA RECATEGORIZACIÓN en la CATEGORÍA 'B' Tu ACTIVIDAD es de 'Servicios' lo que hace que tu categoría máxima sea la 'H' pudiendo facturar un máximo anual de $ 61344854 este monto te permitirá facturar un promedio de $ 5112071 por mes, durante los próximos 12 meses . Si sos servicios podes pasar hasta la categoría K pagando el valor de dicha Categoría.--------- Aprovecho para informarte la deuda que tenes en Monotributo y en Arba, si no tenes deuda va a figurar (sin deuda), en caso de que tengas deuda se te adjuntara el PDF con el detalle: DEUDA: INGRESOS BRUTOS $ ( Sin Deuda ) INMOBILIARIO $ ( Sin Deuda ) AUTOMOTOR $ ( Sin Deuda ) MONOTRIBUTO $ 3265.83 Cualquier duda que tengas, te pido te comuniques con nosotros para acláratelas. Muchas Gracias.          Te paso también la Clave de Afip     Marce19872     y la clave de ARBA(cit)      108705     para que las tengas Actualizadas, si te pide cambiarlas avísanos por favor. Abrazos            ((ESTE ES UN MENSAJE AUTOMATICO))</v>
      </c>
      <c r="GQ21" s="131" t="s">
        <v>264</v>
      </c>
    </row>
    <row r="22" spans="1:199" x14ac:dyDescent="0.25">
      <c r="A22" s="98">
        <v>145</v>
      </c>
      <c r="B22" s="99">
        <v>43903</v>
      </c>
      <c r="C22" s="100" t="s">
        <v>265</v>
      </c>
      <c r="D22" s="102" t="s">
        <v>405</v>
      </c>
      <c r="E22" s="102" t="e">
        <f>LEFT([4]!Tabla1[[#This Row],[Clientes]],1)</f>
        <v>#REF!</v>
      </c>
      <c r="F22" s="103"/>
      <c r="G22" s="104" t="s">
        <v>22</v>
      </c>
      <c r="H22" s="108"/>
      <c r="I22" s="105" t="s">
        <v>233</v>
      </c>
      <c r="J22" s="98">
        <v>20240375002</v>
      </c>
      <c r="K22" s="5">
        <v>30716847620</v>
      </c>
      <c r="L22" s="115" t="s">
        <v>406</v>
      </c>
      <c r="M22" s="231" t="s">
        <v>407</v>
      </c>
      <c r="N22" s="104" t="e">
        <f>+[4]!Tabla1[[#This Row],[Clientes]]</f>
        <v>#REF!</v>
      </c>
      <c r="O22" s="108" t="s">
        <v>34</v>
      </c>
      <c r="P22" s="107" t="e">
        <f>RIGHT([4]!Tabla1[[#This Row],[CUIT]],1)</f>
        <v>#REF!</v>
      </c>
      <c r="Q22" s="31" t="s">
        <v>23</v>
      </c>
      <c r="R22" s="104" t="s">
        <v>408</v>
      </c>
      <c r="S22" s="102" t="s">
        <v>239</v>
      </c>
      <c r="T22" s="108" t="s">
        <v>34</v>
      </c>
      <c r="U22" s="136" t="s">
        <v>34</v>
      </c>
      <c r="V22" s="108" t="s">
        <v>34</v>
      </c>
      <c r="W22" s="115" t="s">
        <v>240</v>
      </c>
      <c r="X22" s="229" t="s">
        <v>409</v>
      </c>
      <c r="Y22" s="104" t="s">
        <v>242</v>
      </c>
      <c r="Z22" s="22" t="s">
        <v>34</v>
      </c>
      <c r="AA22" s="232" t="s">
        <v>34</v>
      </c>
      <c r="AB22" s="233" t="s">
        <v>34</v>
      </c>
      <c r="AC22" s="111" t="s">
        <v>410</v>
      </c>
      <c r="AD22" t="s">
        <v>406</v>
      </c>
      <c r="AE22" s="22" t="s">
        <v>373</v>
      </c>
      <c r="AF22" s="120" t="s">
        <v>34</v>
      </c>
      <c r="AG22" s="112" t="s">
        <v>18</v>
      </c>
      <c r="AH22" s="232" t="s">
        <v>34</v>
      </c>
      <c r="AI22" s="232" t="s">
        <v>34</v>
      </c>
      <c r="AJ22" s="22" t="s">
        <v>34</v>
      </c>
      <c r="AK22" s="234" t="s">
        <v>272</v>
      </c>
      <c r="AL22" s="235"/>
      <c r="AM22" s="236" t="e">
        <f>MONTH([4]!Tabla1[[#This Row],[Fecha de Nacimiento]])</f>
        <v>#REF!</v>
      </c>
      <c r="AN22" s="115" t="s">
        <v>248</v>
      </c>
      <c r="AO22" s="116" t="s">
        <v>34</v>
      </c>
      <c r="AP22" s="104" t="s">
        <v>327</v>
      </c>
      <c r="AQ22" s="120" t="s">
        <v>411</v>
      </c>
      <c r="AR22" s="22" t="s">
        <v>34</v>
      </c>
      <c r="AS22" s="22" t="s">
        <v>34</v>
      </c>
      <c r="AT22" s="22" t="s">
        <v>251</v>
      </c>
      <c r="AU22" s="116" t="s">
        <v>34</v>
      </c>
      <c r="AV22" s="119" t="s">
        <v>412</v>
      </c>
      <c r="AW22" s="22" t="s">
        <v>34</v>
      </c>
      <c r="AX22" s="104">
        <v>410011</v>
      </c>
      <c r="AY22" s="22" t="s">
        <v>34</v>
      </c>
      <c r="AZ22" s="22" t="s">
        <v>34</v>
      </c>
      <c r="BA22" s="22" t="s">
        <v>34</v>
      </c>
      <c r="BB22" s="104" t="s">
        <v>413</v>
      </c>
      <c r="BC22" s="104" t="s">
        <v>275</v>
      </c>
      <c r="BD22" s="104" t="s">
        <v>414</v>
      </c>
      <c r="BE22" s="104" t="s">
        <v>255</v>
      </c>
      <c r="BF22" s="22" t="s">
        <v>34</v>
      </c>
      <c r="BG22" s="22" t="s">
        <v>34</v>
      </c>
      <c r="BH22" s="22" t="s">
        <v>34</v>
      </c>
      <c r="BI22" s="22" t="s">
        <v>34</v>
      </c>
      <c r="BJ22" s="104">
        <v>5</v>
      </c>
      <c r="BK22" s="104">
        <v>6</v>
      </c>
      <c r="BL22" s="104">
        <v>7</v>
      </c>
      <c r="BM22" s="104">
        <v>8</v>
      </c>
      <c r="BN22" s="104" t="s">
        <v>277</v>
      </c>
      <c r="BO22" s="142" t="s">
        <v>34</v>
      </c>
      <c r="BP22" s="121">
        <v>0</v>
      </c>
      <c r="BQ22" s="121">
        <v>0.01</v>
      </c>
      <c r="BR22" s="121">
        <v>0</v>
      </c>
      <c r="BS22" s="121">
        <v>0</v>
      </c>
      <c r="BT22" s="121">
        <v>0</v>
      </c>
      <c r="BU22" s="121">
        <v>0</v>
      </c>
      <c r="BV22" s="121">
        <v>0</v>
      </c>
      <c r="BW22" s="121">
        <v>0</v>
      </c>
      <c r="BX22" s="121">
        <v>0</v>
      </c>
      <c r="BY22" s="121">
        <v>0</v>
      </c>
      <c r="BZ22" s="121">
        <v>0</v>
      </c>
      <c r="CA22" s="121">
        <v>0</v>
      </c>
      <c r="CB22" s="121">
        <v>0</v>
      </c>
      <c r="CC22" s="121">
        <v>0</v>
      </c>
      <c r="CD22" s="121">
        <v>0</v>
      </c>
      <c r="CE22" s="121">
        <v>0</v>
      </c>
      <c r="CF22" s="121">
        <v>0</v>
      </c>
      <c r="CG22" s="121">
        <v>0</v>
      </c>
      <c r="CH22" s="121">
        <v>0</v>
      </c>
      <c r="CI22" s="121">
        <v>0</v>
      </c>
      <c r="CJ22" s="121">
        <v>0</v>
      </c>
      <c r="CK22" s="121">
        <v>0</v>
      </c>
      <c r="CL22" s="121">
        <v>0</v>
      </c>
      <c r="CM22" s="121">
        <v>0</v>
      </c>
      <c r="CN22" s="122">
        <v>1</v>
      </c>
      <c r="CO22" s="122">
        <v>14</v>
      </c>
      <c r="CP22" s="122">
        <v>1</v>
      </c>
      <c r="CQ22" s="122">
        <v>1</v>
      </c>
      <c r="CR22" s="122">
        <v>1</v>
      </c>
      <c r="CS22" s="122">
        <v>1</v>
      </c>
      <c r="CT22" s="122">
        <v>1</v>
      </c>
      <c r="CU22" s="122">
        <v>1</v>
      </c>
      <c r="CV22" s="122">
        <v>1</v>
      </c>
      <c r="CW22" s="122">
        <v>1</v>
      </c>
      <c r="CX22" s="122">
        <v>1</v>
      </c>
      <c r="CY22" s="122">
        <v>1</v>
      </c>
      <c r="CZ22" s="122">
        <v>1</v>
      </c>
      <c r="DA22" s="122">
        <v>1</v>
      </c>
      <c r="DB22" s="122">
        <v>1</v>
      </c>
      <c r="DC22" s="122">
        <v>1</v>
      </c>
      <c r="DD22" s="122">
        <v>1</v>
      </c>
      <c r="DE22" s="122">
        <v>1</v>
      </c>
      <c r="DF22" s="122">
        <v>1</v>
      </c>
      <c r="DG22" s="122">
        <v>1</v>
      </c>
      <c r="DH22" s="122">
        <v>1</v>
      </c>
      <c r="DI22" s="122">
        <v>1</v>
      </c>
      <c r="DJ22" s="122">
        <v>1</v>
      </c>
      <c r="DK22" s="122">
        <v>1</v>
      </c>
      <c r="DL22" s="123">
        <v>0</v>
      </c>
      <c r="DM22" s="123">
        <v>0</v>
      </c>
      <c r="DN22" s="123">
        <v>0</v>
      </c>
      <c r="DO22" s="123">
        <v>0</v>
      </c>
      <c r="DP22" s="123">
        <v>0</v>
      </c>
      <c r="DQ22" s="123">
        <v>0</v>
      </c>
      <c r="DR22" s="123">
        <v>0</v>
      </c>
      <c r="DS22" s="123">
        <v>0</v>
      </c>
      <c r="DT22" s="123">
        <v>0</v>
      </c>
      <c r="DU22" s="123">
        <v>0</v>
      </c>
      <c r="DV22" s="123">
        <v>0</v>
      </c>
      <c r="DW22" s="123">
        <v>0</v>
      </c>
      <c r="DX22" s="123">
        <v>0</v>
      </c>
      <c r="DY22" s="123">
        <v>0</v>
      </c>
      <c r="DZ22" s="123">
        <v>0</v>
      </c>
      <c r="EA22" s="123">
        <v>0</v>
      </c>
      <c r="EB22" s="123">
        <v>0</v>
      </c>
      <c r="EC22" s="123">
        <v>0</v>
      </c>
      <c r="ED22" s="123">
        <v>0</v>
      </c>
      <c r="EE22" s="123">
        <v>0</v>
      </c>
      <c r="EF22" s="123">
        <v>0</v>
      </c>
      <c r="EG22" s="123">
        <v>0</v>
      </c>
      <c r="EH22" s="123">
        <v>0</v>
      </c>
      <c r="EI22" s="123">
        <v>0</v>
      </c>
      <c r="EJ22" s="123">
        <v>0</v>
      </c>
      <c r="EK22" s="123">
        <v>0</v>
      </c>
      <c r="EL22" s="123">
        <v>0</v>
      </c>
      <c r="EM22" s="123">
        <v>0</v>
      </c>
      <c r="EN22" s="123">
        <v>0</v>
      </c>
      <c r="EO22" s="123">
        <v>0</v>
      </c>
      <c r="EP22" s="123">
        <v>0</v>
      </c>
      <c r="EQ22" s="123">
        <v>0</v>
      </c>
      <c r="ER22" s="123">
        <v>0</v>
      </c>
      <c r="ES22" s="123">
        <v>0</v>
      </c>
      <c r="ET22" s="123">
        <v>0</v>
      </c>
      <c r="EU22" s="123">
        <v>0</v>
      </c>
      <c r="EV22" s="123">
        <v>0</v>
      </c>
      <c r="EW22" s="123">
        <v>0</v>
      </c>
      <c r="EX22" s="123">
        <v>0</v>
      </c>
      <c r="EY22" s="123">
        <v>0</v>
      </c>
      <c r="EZ22" s="123">
        <v>0</v>
      </c>
      <c r="FA22" s="123">
        <v>0</v>
      </c>
      <c r="FB22" s="123">
        <v>0</v>
      </c>
      <c r="FC22" s="123">
        <v>0</v>
      </c>
      <c r="FD22" s="123">
        <v>0</v>
      </c>
      <c r="FE22" s="123">
        <v>0</v>
      </c>
      <c r="FF22" s="123">
        <v>0</v>
      </c>
      <c r="FG22" s="123">
        <v>0</v>
      </c>
      <c r="FH22" s="22" t="s">
        <v>34</v>
      </c>
      <c r="FI22" s="22" t="s">
        <v>34</v>
      </c>
      <c r="FJ22" s="22" t="s">
        <v>34</v>
      </c>
      <c r="FK22" s="22" t="s">
        <v>34</v>
      </c>
      <c r="FL22" s="108" t="s">
        <v>34</v>
      </c>
      <c r="FM22" s="22" t="s">
        <v>34</v>
      </c>
      <c r="FN22" s="22"/>
      <c r="FO22" s="145" t="s">
        <v>34</v>
      </c>
      <c r="FP22" s="104"/>
      <c r="FQ22" s="124" t="s">
        <v>34</v>
      </c>
      <c r="FR22" s="104"/>
      <c r="FS22" s="104" t="e">
        <f>+[4]!Tabla1[[#This Row],[Clave Fiscal]]</f>
        <v>#REF!</v>
      </c>
      <c r="FT22" s="104" t="e">
        <f>+[4]!Tabla1[[#This Row],[Clave CIT]]</f>
        <v>#REF!</v>
      </c>
      <c r="FU22" s="125" t="s">
        <v>261</v>
      </c>
      <c r="FV22" s="125" t="s">
        <v>261</v>
      </c>
      <c r="FW22" s="125" t="s">
        <v>261</v>
      </c>
      <c r="FX22" s="125" t="s">
        <v>261</v>
      </c>
      <c r="FY22" s="125" t="s">
        <v>261</v>
      </c>
      <c r="FZ22" s="125" t="s">
        <v>261</v>
      </c>
      <c r="GA22" s="125" t="s">
        <v>261</v>
      </c>
      <c r="GB22" s="125" t="s">
        <v>261</v>
      </c>
      <c r="GC22" s="125" t="s">
        <v>261</v>
      </c>
      <c r="GD22" s="125" t="s">
        <v>261</v>
      </c>
      <c r="GE22" s="125" t="s">
        <v>261</v>
      </c>
      <c r="GF22" s="126" t="s">
        <v>233</v>
      </c>
      <c r="GG22" s="127" t="s">
        <v>34</v>
      </c>
      <c r="GH22" s="128" t="s">
        <v>233</v>
      </c>
      <c r="GI22" s="126" t="s">
        <v>34</v>
      </c>
      <c r="GJ22" s="177" t="s">
        <v>34</v>
      </c>
      <c r="GK22" s="127" t="s">
        <v>34</v>
      </c>
      <c r="GL22" s="130" t="s">
        <v>415</v>
      </c>
      <c r="GM22" s="22" t="s">
        <v>34</v>
      </c>
      <c r="GN22" s="22" t="e">
        <f>"Buenas tardes "&amp;[4]!Tabla1[[#This Row],[Nombre]]&amp;", adjunto envió la deuda que nosotros vemos en el sistema acumulada hasta el 31/07/2024, al mismo tiempo te estamos mandando un Print de Pantalla para que visualicen el detalle de cada concepto si es que tenes DEUDA."&amp;" "&amp;"En "&amp;[4]!Tabla1[[#Headers],[Monot. / Autónomo]]&amp;" "&amp;+[4]!Tabla1[[#This Row],[Monot. / Autónomo]]&amp;"   ***    "&amp;" "&amp;"En "&amp;[4]!Tabla1[[#Headers],[Ingresos Brutos]]&amp;" "&amp;+[4]!Tabla1[[#This Row],[Ingresos Brutos]]&amp;"   ***    "&amp;"En "&amp;[4]!Tabla1[[#Headers],[AGIP]]&amp;" "&amp;+[4]!Tabla1[[#This Row],[AGIP]]&amp;"   ***    "&amp;"En "&amp;[4]!Tabla1[[#Headers],[SCT  IVA]]&amp;" "&amp;+[4]!Tabla1[[#This Row],[SCT  IVA]]&amp;"   ***    "&amp;"En "&amp;[4]!Tabla1[[#Headers],[SCT Empleados]]&amp;" "&amp;+[4]!Tabla1[[#This Row],[SCT Empleados]]&amp;"   ***    "&amp;"En "&amp;[4]!Tabla1[[#Headers],[SCT GCIA &amp; BP]]&amp;" "&amp;+[4]!Tabla1[[#This Row],[SCT GCIA &amp; BP]]&amp;"   ***    "&amp;"En "&amp;[4]!Tabla1[[#Headers],[SCT Contribución de Seg. Social]]&amp;" "&amp;+[4]!Tabla1[[#This Row],[SCT Contribución de Seg. Social]]&amp;"   ***    "&amp;"En "&amp;[4]!Tabla1[[#Headers],[Convenio]]&amp;" "&amp;+[4]!Tabla1[[#This Row],[Convenio]]&amp;"   ***    "&amp;"En "&amp;[4]!Tabla1[[#Headers],[Seg. e Higiene]]&amp;" "&amp;+[4]!Tabla1[[#This Row],[Seg. e Higiene]]&amp;"En "&amp;[4]!Tabla1[[#Headers],[Inmobiliario]]&amp;" "&amp;+[4]!Tabla1[[#This Row],[Inmobiliario]]&amp;"   ***    "&amp;"En "&amp;[4]!Tabla1[[#Headers],[Automotor]]&amp;" "&amp;+[4]!Tabla1[[#This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f>
        <v>#REF!</v>
      </c>
      <c r="GO22" s="108" t="s">
        <v>263</v>
      </c>
      <c r="GP22" s="22"/>
      <c r="GQ22" s="131" t="s">
        <v>264</v>
      </c>
    </row>
    <row r="23" spans="1:199" ht="15.75" thickBot="1" x14ac:dyDescent="0.3">
      <c r="A23" s="98">
        <v>157</v>
      </c>
      <c r="B23" s="99">
        <v>42856</v>
      </c>
      <c r="C23" s="100" t="s">
        <v>320</v>
      </c>
      <c r="D23" s="102" t="s">
        <v>416</v>
      </c>
      <c r="E23" s="102" t="e">
        <f>LEFT([4]!Tabla1[[#This Row],[Clientes]],1)</f>
        <v>#REF!</v>
      </c>
      <c r="F23" s="103"/>
      <c r="G23" s="104" t="s">
        <v>22</v>
      </c>
      <c r="H23" s="108"/>
      <c r="I23" s="105" t="s">
        <v>233</v>
      </c>
      <c r="J23" s="106" t="s">
        <v>234</v>
      </c>
      <c r="K23" s="5">
        <v>20240375002</v>
      </c>
      <c r="L23" s="104" t="s">
        <v>406</v>
      </c>
      <c r="M23" s="102">
        <v>250967</v>
      </c>
      <c r="N23" s="104" t="e">
        <f>+[4]!Tabla1[[#This Row],[Clientes]]</f>
        <v>#REF!</v>
      </c>
      <c r="O23" s="108" t="s">
        <v>34</v>
      </c>
      <c r="P23" s="107" t="e">
        <f>RIGHT([4]!Tabla1[[#This Row],[CUIT]],1)</f>
        <v>#REF!</v>
      </c>
      <c r="Q23" s="163" t="s">
        <v>16</v>
      </c>
      <c r="R23" s="104" t="s">
        <v>408</v>
      </c>
      <c r="S23" s="102" t="s">
        <v>323</v>
      </c>
      <c r="T23" s="98">
        <v>1907800</v>
      </c>
      <c r="U23" s="237" t="s">
        <v>417</v>
      </c>
      <c r="V23" s="98" t="s">
        <v>281</v>
      </c>
      <c r="W23" s="104">
        <v>24180000</v>
      </c>
      <c r="X23" s="149" t="s">
        <v>418</v>
      </c>
      <c r="Y23" s="104" t="s">
        <v>242</v>
      </c>
      <c r="Z23" s="124" t="s">
        <v>34</v>
      </c>
      <c r="AA23" s="115" t="s">
        <v>243</v>
      </c>
      <c r="AB23" s="115" t="s">
        <v>243</v>
      </c>
      <c r="AC23" s="111" t="s">
        <v>419</v>
      </c>
      <c r="AD23" t="s">
        <v>34</v>
      </c>
      <c r="AE23" s="142" t="s">
        <v>34</v>
      </c>
      <c r="AF23" s="139" t="s">
        <v>34</v>
      </c>
      <c r="AG23" s="211" t="s">
        <v>34</v>
      </c>
      <c r="AH23" s="124" t="s">
        <v>34</v>
      </c>
      <c r="AI23" s="124" t="s">
        <v>34</v>
      </c>
      <c r="AJ23" s="22" t="s">
        <v>34</v>
      </c>
      <c r="AK23" s="238" t="s">
        <v>247</v>
      </c>
      <c r="AL23" s="113">
        <v>27368</v>
      </c>
      <c r="AM23" s="108" t="e">
        <f>MONTH([4]!Tabla1[[#This Row],[Fecha de Nacimiento]])</f>
        <v>#REF!</v>
      </c>
      <c r="AN23" s="115" t="s">
        <v>248</v>
      </c>
      <c r="AO23" s="173" t="s">
        <v>420</v>
      </c>
      <c r="AP23" s="104" t="s">
        <v>293</v>
      </c>
      <c r="AQ23" s="104" t="s">
        <v>421</v>
      </c>
      <c r="AR23" s="239" t="s">
        <v>422</v>
      </c>
      <c r="AS23" s="104" t="s">
        <v>328</v>
      </c>
      <c r="AT23" s="22" t="s">
        <v>251</v>
      </c>
      <c r="AU23" s="104" t="s">
        <v>423</v>
      </c>
      <c r="AV23" s="240" t="s">
        <v>424</v>
      </c>
      <c r="AW23" s="104" t="s">
        <v>425</v>
      </c>
      <c r="AX23" s="104">
        <v>561019</v>
      </c>
      <c r="AY23" s="22" t="s">
        <v>34</v>
      </c>
      <c r="AZ23" s="22" t="s">
        <v>34</v>
      </c>
      <c r="BA23" s="22" t="s">
        <v>34</v>
      </c>
      <c r="BB23" s="104" t="s">
        <v>426</v>
      </c>
      <c r="BC23" s="22" t="s">
        <v>34</v>
      </c>
      <c r="BD23" s="104" t="s">
        <v>317</v>
      </c>
      <c r="BE23" s="104" t="s">
        <v>255</v>
      </c>
      <c r="BF23" s="241" t="s">
        <v>427</v>
      </c>
      <c r="BG23" s="104" t="s">
        <v>257</v>
      </c>
      <c r="BH23" s="104" t="s">
        <v>256</v>
      </c>
      <c r="BI23" s="104" t="s">
        <v>257</v>
      </c>
      <c r="BJ23" s="104">
        <v>5</v>
      </c>
      <c r="BK23" s="104">
        <v>6</v>
      </c>
      <c r="BL23" s="104">
        <v>7</v>
      </c>
      <c r="BM23" s="104">
        <v>8</v>
      </c>
      <c r="BN23" s="104" t="s">
        <v>277</v>
      </c>
      <c r="BO23" s="104" t="s">
        <v>428</v>
      </c>
      <c r="BP23" s="121">
        <v>0</v>
      </c>
      <c r="BQ23" s="121">
        <v>0.01</v>
      </c>
      <c r="BR23" s="121">
        <v>0</v>
      </c>
      <c r="BS23" s="121">
        <v>0</v>
      </c>
      <c r="BT23" s="121">
        <v>0</v>
      </c>
      <c r="BU23" s="121">
        <v>0</v>
      </c>
      <c r="BV23" s="121">
        <v>0</v>
      </c>
      <c r="BW23" s="121">
        <v>0</v>
      </c>
      <c r="BX23" s="121">
        <v>0</v>
      </c>
      <c r="BY23" s="121">
        <v>0</v>
      </c>
      <c r="BZ23" s="121">
        <v>0</v>
      </c>
      <c r="CA23" s="121">
        <v>0</v>
      </c>
      <c r="CB23" s="121">
        <v>0</v>
      </c>
      <c r="CC23" s="121">
        <v>0</v>
      </c>
      <c r="CD23" s="121">
        <v>0</v>
      </c>
      <c r="CE23" s="121">
        <v>0</v>
      </c>
      <c r="CF23" s="121">
        <v>0</v>
      </c>
      <c r="CG23" s="121">
        <v>0</v>
      </c>
      <c r="CH23" s="121">
        <v>0</v>
      </c>
      <c r="CI23" s="121">
        <v>0</v>
      </c>
      <c r="CJ23" s="121">
        <v>0</v>
      </c>
      <c r="CK23" s="121">
        <v>0</v>
      </c>
      <c r="CL23" s="121">
        <v>0</v>
      </c>
      <c r="CM23" s="121">
        <v>0</v>
      </c>
      <c r="CN23" s="122">
        <v>1</v>
      </c>
      <c r="CO23" s="122">
        <v>14</v>
      </c>
      <c r="CP23" s="122">
        <v>1</v>
      </c>
      <c r="CQ23" s="122">
        <v>1</v>
      </c>
      <c r="CR23" s="122">
        <v>1</v>
      </c>
      <c r="CS23" s="122">
        <v>1</v>
      </c>
      <c r="CT23" s="122">
        <v>1</v>
      </c>
      <c r="CU23" s="122">
        <v>1</v>
      </c>
      <c r="CV23" s="122">
        <v>1</v>
      </c>
      <c r="CW23" s="122">
        <v>1</v>
      </c>
      <c r="CX23" s="122">
        <v>1</v>
      </c>
      <c r="CY23" s="122">
        <v>1</v>
      </c>
      <c r="CZ23" s="122">
        <v>1</v>
      </c>
      <c r="DA23" s="122">
        <v>1</v>
      </c>
      <c r="DB23" s="122">
        <v>1</v>
      </c>
      <c r="DC23" s="122">
        <v>1</v>
      </c>
      <c r="DD23" s="122">
        <v>1</v>
      </c>
      <c r="DE23" s="122">
        <v>1</v>
      </c>
      <c r="DF23" s="122">
        <v>1</v>
      </c>
      <c r="DG23" s="122">
        <v>1</v>
      </c>
      <c r="DH23" s="122">
        <v>1</v>
      </c>
      <c r="DI23" s="122">
        <v>1</v>
      </c>
      <c r="DJ23" s="122">
        <v>1</v>
      </c>
      <c r="DK23" s="122">
        <v>1</v>
      </c>
      <c r="DL23" s="123">
        <v>0</v>
      </c>
      <c r="DM23" s="123">
        <v>0.04</v>
      </c>
      <c r="DN23" s="123">
        <v>0</v>
      </c>
      <c r="DO23" s="123">
        <v>0</v>
      </c>
      <c r="DP23" s="123">
        <v>0</v>
      </c>
      <c r="DQ23" s="123">
        <v>0</v>
      </c>
      <c r="DR23" s="123">
        <v>0</v>
      </c>
      <c r="DS23" s="123">
        <v>0</v>
      </c>
      <c r="DT23" s="123">
        <v>0</v>
      </c>
      <c r="DU23" s="123">
        <v>0</v>
      </c>
      <c r="DV23" s="123">
        <v>0</v>
      </c>
      <c r="DW23" s="123">
        <v>0</v>
      </c>
      <c r="DX23" s="123">
        <v>0</v>
      </c>
      <c r="DY23" s="123">
        <v>0</v>
      </c>
      <c r="DZ23" s="123">
        <v>0</v>
      </c>
      <c r="EA23" s="123">
        <v>0</v>
      </c>
      <c r="EB23" s="123">
        <v>0</v>
      </c>
      <c r="EC23" s="123">
        <v>0</v>
      </c>
      <c r="ED23" s="123">
        <v>0</v>
      </c>
      <c r="EE23" s="123">
        <v>0</v>
      </c>
      <c r="EF23" s="123">
        <v>0</v>
      </c>
      <c r="EG23" s="123">
        <v>0</v>
      </c>
      <c r="EH23" s="123">
        <v>0</v>
      </c>
      <c r="EI23" s="123">
        <v>0</v>
      </c>
      <c r="EJ23" s="123">
        <v>0</v>
      </c>
      <c r="EK23" s="123">
        <v>0</v>
      </c>
      <c r="EL23" s="123">
        <v>0</v>
      </c>
      <c r="EM23" s="123">
        <v>0</v>
      </c>
      <c r="EN23" s="123">
        <v>0</v>
      </c>
      <c r="EO23" s="123">
        <v>0</v>
      </c>
      <c r="EP23" s="123">
        <v>0</v>
      </c>
      <c r="EQ23" s="123">
        <v>0</v>
      </c>
      <c r="ER23" s="123">
        <v>0</v>
      </c>
      <c r="ES23" s="123">
        <v>0</v>
      </c>
      <c r="ET23" s="123">
        <v>0</v>
      </c>
      <c r="EU23" s="123">
        <v>0</v>
      </c>
      <c r="EV23" s="123">
        <v>0</v>
      </c>
      <c r="EW23" s="123">
        <v>0</v>
      </c>
      <c r="EX23" s="123">
        <v>0</v>
      </c>
      <c r="EY23" s="123">
        <v>0</v>
      </c>
      <c r="EZ23" s="123">
        <v>0</v>
      </c>
      <c r="FA23" s="123">
        <v>0</v>
      </c>
      <c r="FB23" s="123">
        <v>0</v>
      </c>
      <c r="FC23" s="123">
        <v>0</v>
      </c>
      <c r="FD23" s="123">
        <v>0</v>
      </c>
      <c r="FE23" s="123">
        <v>0</v>
      </c>
      <c r="FF23" s="123">
        <v>0</v>
      </c>
      <c r="FG23" s="123">
        <v>0</v>
      </c>
      <c r="FH23" s="22" t="s">
        <v>34</v>
      </c>
      <c r="FI23" s="22" t="s">
        <v>34</v>
      </c>
      <c r="FJ23" s="22" t="s">
        <v>34</v>
      </c>
      <c r="FK23" s="22" t="s">
        <v>34</v>
      </c>
      <c r="FL23" s="108" t="s">
        <v>34</v>
      </c>
      <c r="FM23" s="22" t="s">
        <v>34</v>
      </c>
      <c r="FN23" s="22"/>
      <c r="FO23" s="22" t="s">
        <v>34</v>
      </c>
      <c r="FP23" s="104" t="e">
        <f>IF([4]!Tabla1[[#This Row],[Clave Agip]]="","",+[4]!Tabla1[[#This Row],[Clave Agip]])</f>
        <v>#REF!</v>
      </c>
      <c r="FQ23" s="124" t="s">
        <v>34</v>
      </c>
      <c r="FR23" s="104"/>
      <c r="FS23" s="104" t="e">
        <f>+[4]!Tabla1[[#This Row],[Clave Fiscal]]</f>
        <v>#REF!</v>
      </c>
      <c r="FT23" s="104" t="e">
        <f>+[4]!Tabla1[[#This Row],[Clave CIT]]</f>
        <v>#REF!</v>
      </c>
      <c r="FU23" s="125" t="s">
        <v>261</v>
      </c>
      <c r="FV23" s="125" t="s">
        <v>261</v>
      </c>
      <c r="FW23" s="125" t="s">
        <v>261</v>
      </c>
      <c r="FX23" s="125" t="s">
        <v>261</v>
      </c>
      <c r="FY23" s="125" t="s">
        <v>261</v>
      </c>
      <c r="FZ23" s="125" t="s">
        <v>261</v>
      </c>
      <c r="GA23" s="125" t="s">
        <v>261</v>
      </c>
      <c r="GB23" s="125" t="s">
        <v>261</v>
      </c>
      <c r="GC23" s="125" t="s">
        <v>261</v>
      </c>
      <c r="GD23" s="125" t="s">
        <v>261</v>
      </c>
      <c r="GE23" s="125" t="s">
        <v>261</v>
      </c>
      <c r="GF23" s="126" t="s">
        <v>233</v>
      </c>
      <c r="GG23" s="127" t="s">
        <v>34</v>
      </c>
      <c r="GH23" s="128" t="s">
        <v>233</v>
      </c>
      <c r="GI23" s="126" t="s">
        <v>34</v>
      </c>
      <c r="GJ23" s="242" t="s">
        <v>34</v>
      </c>
      <c r="GK23" s="127" t="s">
        <v>34</v>
      </c>
      <c r="GL23" s="130" t="s">
        <v>429</v>
      </c>
      <c r="GM23" s="22" t="s">
        <v>34</v>
      </c>
      <c r="GN23" s="22" t="e">
        <f>"Buenas tardes "&amp;[4]!Tabla1[[#This Row],[Nombre]]&amp;", adjunto envió la deuda que nosotros vemos en el sistema acumulada hasta el 31/07/2024, al mismo tiempo te estamos mandando un Print de Pantalla para que visualicen el detalle de cada concepto si es que tenes DEUDA."&amp;" "&amp;"En "&amp;[4]!Tabla1[[#Headers],[Monot. / Autónomo]]&amp;" "&amp;+[4]!Tabla1[[#This Row],[Monot. / Autónomo]]&amp;"   ***    "&amp;" "&amp;"En "&amp;[4]!Tabla1[[#Headers],[Ingresos Brutos]]&amp;" "&amp;+[4]!Tabla1[[#This Row],[Ingresos Brutos]]&amp;"   ***    "&amp;"En "&amp;[4]!Tabla1[[#Headers],[AGIP]]&amp;" "&amp;+[4]!Tabla1[[#This Row],[AGIP]]&amp;"   ***    "&amp;"En "&amp;[4]!Tabla1[[#Headers],[SCT  IVA]]&amp;" "&amp;+[4]!Tabla1[[#This Row],[SCT  IVA]]&amp;"   ***    "&amp;"En "&amp;[4]!Tabla1[[#Headers],[SCT Empleados]]&amp;" "&amp;+[4]!Tabla1[[#This Row],[SCT Empleados]]&amp;"   ***    "&amp;"En "&amp;[4]!Tabla1[[#Headers],[SCT GCIA &amp; BP]]&amp;" "&amp;+[4]!Tabla1[[#This Row],[SCT GCIA &amp; BP]]&amp;"   ***    "&amp;"En "&amp;[4]!Tabla1[[#Headers],[SCT Contribución de Seg. Social]]&amp;" "&amp;+[4]!Tabla1[[#This Row],[SCT Contribución de Seg. Social]]&amp;"   ***    "&amp;"En "&amp;[4]!Tabla1[[#Headers],[Convenio]]&amp;" "&amp;+[4]!Tabla1[[#This Row],[Convenio]]&amp;"   ***    "&amp;"En "&amp;[4]!Tabla1[[#Headers],[Seg. e Higiene]]&amp;" "&amp;+[4]!Tabla1[[#This Row],[Seg. e Higiene]]&amp;"En "&amp;[4]!Tabla1[[#Headers],[Inmobiliario]]&amp;" "&amp;+[4]!Tabla1[[#This Row],[Inmobiliario]]&amp;"   ***    "&amp;"En "&amp;[4]!Tabla1[[#Headers],[Automotor]]&amp;" "&amp;+[4]!Tabla1[[#This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f>
        <v>#REF!</v>
      </c>
      <c r="GO23" s="108" t="s">
        <v>263</v>
      </c>
      <c r="GP23" s="22"/>
      <c r="GQ23" s="131" t="s">
        <v>264</v>
      </c>
    </row>
    <row r="24" spans="1:199" x14ac:dyDescent="0.25">
      <c r="A24" s="5">
        <v>262</v>
      </c>
      <c r="B24" s="243">
        <v>43796</v>
      </c>
      <c r="C24" s="213" t="s">
        <v>320</v>
      </c>
      <c r="D24" s="244" t="s">
        <v>430</v>
      </c>
      <c r="E24" s="102" t="e">
        <f>LEFT([4]!Tabla1[[#This Row],[Clientes]],1)</f>
        <v>#REF!</v>
      </c>
      <c r="F24" s="103"/>
      <c r="G24" s="245" t="s">
        <v>22</v>
      </c>
      <c r="H24" s="136"/>
      <c r="I24" s="105" t="s">
        <v>233</v>
      </c>
      <c r="J24" s="246" t="s">
        <v>234</v>
      </c>
      <c r="K24" s="5">
        <v>27251063805</v>
      </c>
      <c r="L24" s="247" t="s">
        <v>404</v>
      </c>
      <c r="M24" s="248" t="s">
        <v>431</v>
      </c>
      <c r="N24" s="104" t="e">
        <f>+[4]!Tabla1[[#This Row],[Clientes]]</f>
        <v>#REF!</v>
      </c>
      <c r="O24" s="5" t="s">
        <v>322</v>
      </c>
      <c r="P24" s="107" t="e">
        <f>RIGHT([4]!Tabla1[[#This Row],[CUIT]],1)</f>
        <v>#REF!</v>
      </c>
      <c r="Q24" s="163" t="s">
        <v>16</v>
      </c>
      <c r="R24" s="104" t="s">
        <v>408</v>
      </c>
      <c r="S24" s="102" t="s">
        <v>323</v>
      </c>
      <c r="T24" s="5">
        <v>10054160</v>
      </c>
      <c r="U24" s="5" t="s">
        <v>404</v>
      </c>
      <c r="V24" s="5" t="s">
        <v>281</v>
      </c>
      <c r="W24" s="249">
        <v>12345678</v>
      </c>
      <c r="X24" s="168" t="s">
        <v>324</v>
      </c>
      <c r="Y24" s="102" t="s">
        <v>242</v>
      </c>
      <c r="Z24" s="102" t="s">
        <v>322</v>
      </c>
      <c r="AA24" s="250" t="s">
        <v>243</v>
      </c>
      <c r="AB24" s="250" t="s">
        <v>243</v>
      </c>
      <c r="AC24" s="250" t="s">
        <v>325</v>
      </c>
      <c r="AD24" t="s">
        <v>34</v>
      </c>
      <c r="AE24" s="251" t="s">
        <v>34</v>
      </c>
      <c r="AF24" s="232" t="s">
        <v>34</v>
      </c>
      <c r="AG24" s="251" t="s">
        <v>34</v>
      </c>
      <c r="AH24" s="232" t="s">
        <v>34</v>
      </c>
      <c r="AI24" s="232" t="s">
        <v>34</v>
      </c>
      <c r="AJ24" s="232" t="s">
        <v>34</v>
      </c>
      <c r="AK24" s="102" t="s">
        <v>247</v>
      </c>
      <c r="AL24" s="252">
        <v>27783</v>
      </c>
      <c r="AM24" s="253" t="e">
        <f>MONTH([4]!Tabla1[[#This Row],[Fecha de Nacimiento]])</f>
        <v>#REF!</v>
      </c>
      <c r="AN24" s="102" t="s">
        <v>248</v>
      </c>
      <c r="AO24" s="254" t="s">
        <v>432</v>
      </c>
      <c r="AP24" s="102" t="s">
        <v>433</v>
      </c>
      <c r="AQ24" s="232" t="s">
        <v>34</v>
      </c>
      <c r="AR24" s="255" t="s">
        <v>422</v>
      </c>
      <c r="AS24" s="102" t="s">
        <v>328</v>
      </c>
      <c r="AT24" s="22" t="s">
        <v>251</v>
      </c>
      <c r="AU24" s="211" t="s">
        <v>34</v>
      </c>
      <c r="AV24" s="256" t="s">
        <v>434</v>
      </c>
      <c r="AW24" s="124" t="s">
        <v>34</v>
      </c>
      <c r="AX24" s="124" t="s">
        <v>34</v>
      </c>
      <c r="AY24" s="124" t="s">
        <v>34</v>
      </c>
      <c r="AZ24" s="124" t="s">
        <v>34</v>
      </c>
      <c r="BA24" s="124" t="s">
        <v>34</v>
      </c>
      <c r="BB24" s="102" t="s">
        <v>435</v>
      </c>
      <c r="BC24" s="124" t="s">
        <v>34</v>
      </c>
      <c r="BD24" s="102" t="s">
        <v>317</v>
      </c>
      <c r="BE24" s="102" t="s">
        <v>255</v>
      </c>
      <c r="BF24" s="124" t="s">
        <v>436</v>
      </c>
      <c r="BG24" s="124" t="s">
        <v>300</v>
      </c>
      <c r="BH24" s="102" t="s">
        <v>437</v>
      </c>
      <c r="BI24" s="102" t="s">
        <v>438</v>
      </c>
      <c r="BJ24" s="102">
        <v>5</v>
      </c>
      <c r="BK24" s="102">
        <v>6</v>
      </c>
      <c r="BL24" s="102">
        <v>7</v>
      </c>
      <c r="BM24" s="102">
        <v>8</v>
      </c>
      <c r="BN24" s="102" t="s">
        <v>277</v>
      </c>
      <c r="BO24" s="124" t="s">
        <v>34</v>
      </c>
      <c r="BP24" s="121">
        <v>0</v>
      </c>
      <c r="BQ24" s="121">
        <v>0.01</v>
      </c>
      <c r="BR24" s="121">
        <v>0</v>
      </c>
      <c r="BS24" s="121">
        <v>0</v>
      </c>
      <c r="BT24" s="121">
        <v>0</v>
      </c>
      <c r="BU24" s="121">
        <v>0</v>
      </c>
      <c r="BV24" s="121">
        <v>0</v>
      </c>
      <c r="BW24" s="121">
        <v>0</v>
      </c>
      <c r="BX24" s="121">
        <v>0</v>
      </c>
      <c r="BY24" s="121">
        <v>0</v>
      </c>
      <c r="BZ24" s="121">
        <v>0</v>
      </c>
      <c r="CA24" s="121">
        <v>0</v>
      </c>
      <c r="CB24" s="121">
        <v>0</v>
      </c>
      <c r="CC24" s="121">
        <v>0</v>
      </c>
      <c r="CD24" s="121">
        <v>0</v>
      </c>
      <c r="CE24" s="121">
        <v>0</v>
      </c>
      <c r="CF24" s="121">
        <v>0</v>
      </c>
      <c r="CG24" s="121">
        <v>0</v>
      </c>
      <c r="CH24" s="121">
        <v>0</v>
      </c>
      <c r="CI24" s="121">
        <v>0</v>
      </c>
      <c r="CJ24" s="121">
        <v>0</v>
      </c>
      <c r="CK24" s="121">
        <v>0</v>
      </c>
      <c r="CL24" s="121">
        <v>0</v>
      </c>
      <c r="CM24" s="121">
        <v>0</v>
      </c>
      <c r="CN24" s="122">
        <v>1</v>
      </c>
      <c r="CO24" s="122">
        <v>14</v>
      </c>
      <c r="CP24" s="122">
        <v>1</v>
      </c>
      <c r="CQ24" s="122">
        <v>1</v>
      </c>
      <c r="CR24" s="122">
        <v>1</v>
      </c>
      <c r="CS24" s="122">
        <v>1</v>
      </c>
      <c r="CT24" s="122">
        <v>1</v>
      </c>
      <c r="CU24" s="122">
        <v>1</v>
      </c>
      <c r="CV24" s="122">
        <v>1</v>
      </c>
      <c r="CW24" s="122">
        <v>1</v>
      </c>
      <c r="CX24" s="122">
        <v>1</v>
      </c>
      <c r="CY24" s="122">
        <v>1</v>
      </c>
      <c r="CZ24" s="122">
        <v>1</v>
      </c>
      <c r="DA24" s="122">
        <v>1</v>
      </c>
      <c r="DB24" s="122">
        <v>1</v>
      </c>
      <c r="DC24" s="122">
        <v>1</v>
      </c>
      <c r="DD24" s="122">
        <v>1</v>
      </c>
      <c r="DE24" s="122">
        <v>1</v>
      </c>
      <c r="DF24" s="122">
        <v>1</v>
      </c>
      <c r="DG24" s="122">
        <v>1</v>
      </c>
      <c r="DH24" s="122">
        <v>1</v>
      </c>
      <c r="DI24" s="122">
        <v>1</v>
      </c>
      <c r="DJ24" s="122">
        <v>1</v>
      </c>
      <c r="DK24" s="122">
        <v>1</v>
      </c>
      <c r="DL24" s="123">
        <v>0.03</v>
      </c>
      <c r="DM24" s="123">
        <v>0.04</v>
      </c>
      <c r="DN24" s="123">
        <v>0</v>
      </c>
      <c r="DO24" s="123">
        <v>0</v>
      </c>
      <c r="DP24" s="123">
        <v>0</v>
      </c>
      <c r="DQ24" s="123">
        <v>0</v>
      </c>
      <c r="DR24" s="123">
        <v>0</v>
      </c>
      <c r="DS24" s="123">
        <v>0</v>
      </c>
      <c r="DT24" s="123">
        <v>0</v>
      </c>
      <c r="DU24" s="123">
        <v>0</v>
      </c>
      <c r="DV24" s="123">
        <v>0</v>
      </c>
      <c r="DW24" s="123">
        <v>0</v>
      </c>
      <c r="DX24" s="123">
        <v>0</v>
      </c>
      <c r="DY24" s="123">
        <v>0</v>
      </c>
      <c r="DZ24" s="123">
        <v>0</v>
      </c>
      <c r="EA24" s="123">
        <v>0</v>
      </c>
      <c r="EB24" s="123">
        <v>0</v>
      </c>
      <c r="EC24" s="123">
        <v>0</v>
      </c>
      <c r="ED24" s="123">
        <v>0</v>
      </c>
      <c r="EE24" s="123">
        <v>0</v>
      </c>
      <c r="EF24" s="123">
        <v>0</v>
      </c>
      <c r="EG24" s="123">
        <v>0</v>
      </c>
      <c r="EH24" s="123">
        <v>0</v>
      </c>
      <c r="EI24" s="123">
        <v>0</v>
      </c>
      <c r="EJ24" s="123">
        <v>0</v>
      </c>
      <c r="EK24" s="123">
        <v>0</v>
      </c>
      <c r="EL24" s="123">
        <v>0</v>
      </c>
      <c r="EM24" s="123">
        <v>0</v>
      </c>
      <c r="EN24" s="123">
        <v>0</v>
      </c>
      <c r="EO24" s="123">
        <v>0</v>
      </c>
      <c r="EP24" s="123">
        <v>0</v>
      </c>
      <c r="EQ24" s="123">
        <v>0</v>
      </c>
      <c r="ER24" s="123">
        <v>0</v>
      </c>
      <c r="ES24" s="123">
        <v>0</v>
      </c>
      <c r="ET24" s="123">
        <v>0</v>
      </c>
      <c r="EU24" s="123">
        <v>0</v>
      </c>
      <c r="EV24" s="123">
        <v>0</v>
      </c>
      <c r="EW24" s="123">
        <v>0</v>
      </c>
      <c r="EX24" s="123">
        <v>0</v>
      </c>
      <c r="EY24" s="123">
        <v>0</v>
      </c>
      <c r="EZ24" s="123">
        <v>0</v>
      </c>
      <c r="FA24" s="123">
        <v>0</v>
      </c>
      <c r="FB24" s="123">
        <v>0</v>
      </c>
      <c r="FC24" s="123">
        <v>0</v>
      </c>
      <c r="FD24" s="123">
        <v>0</v>
      </c>
      <c r="FE24" s="123">
        <v>0</v>
      </c>
      <c r="FF24" s="123">
        <v>0</v>
      </c>
      <c r="FG24" s="123">
        <v>0</v>
      </c>
      <c r="FH24" s="124" t="s">
        <v>34</v>
      </c>
      <c r="FI24" s="102" t="s">
        <v>439</v>
      </c>
      <c r="FJ24" s="124" t="s">
        <v>34</v>
      </c>
      <c r="FK24" s="102" t="s">
        <v>260</v>
      </c>
      <c r="FL24" s="5">
        <v>1623</v>
      </c>
      <c r="FM24" s="102" t="s">
        <v>440</v>
      </c>
      <c r="FN24" s="124"/>
      <c r="FO24" s="213">
        <v>43800</v>
      </c>
      <c r="FP24" s="102" t="e">
        <f>IF([4]!Tabla1[[#This Row],[Clave Agip]]="","",+[4]!Tabla1[[#This Row],[Clave Agip]])</f>
        <v>#REF!</v>
      </c>
      <c r="FQ24" s="124" t="s">
        <v>34</v>
      </c>
      <c r="FR24" s="102"/>
      <c r="FS24" s="102" t="e">
        <f>+[4]!Tabla1[[#This Row],[Clave Fiscal]]</f>
        <v>#REF!</v>
      </c>
      <c r="FT24" s="102" t="e">
        <f>+[4]!Tabla1[[#This Row],[Clave CIT]]</f>
        <v>#REF!</v>
      </c>
      <c r="FU24" s="125" t="s">
        <v>261</v>
      </c>
      <c r="FV24" s="125" t="s">
        <v>261</v>
      </c>
      <c r="FW24" s="125" t="s">
        <v>261</v>
      </c>
      <c r="FX24" s="125" t="s">
        <v>261</v>
      </c>
      <c r="FY24" s="125" t="s">
        <v>261</v>
      </c>
      <c r="FZ24" s="257" t="s">
        <v>261</v>
      </c>
      <c r="GA24" s="257" t="s">
        <v>261</v>
      </c>
      <c r="GB24" s="257" t="s">
        <v>261</v>
      </c>
      <c r="GC24" s="257" t="s">
        <v>261</v>
      </c>
      <c r="GD24" s="257" t="s">
        <v>261</v>
      </c>
      <c r="GE24" s="257" t="s">
        <v>261</v>
      </c>
      <c r="GF24" s="258" t="s">
        <v>233</v>
      </c>
      <c r="GG24" s="259" t="s">
        <v>34</v>
      </c>
      <c r="GH24" s="260" t="s">
        <v>233</v>
      </c>
      <c r="GI24" s="258" t="s">
        <v>34</v>
      </c>
      <c r="GJ24" s="259" t="s">
        <v>34</v>
      </c>
      <c r="GK24" s="259" t="s">
        <v>34</v>
      </c>
      <c r="GL24" s="261" t="s">
        <v>441</v>
      </c>
      <c r="GM24" s="124" t="s">
        <v>34</v>
      </c>
      <c r="GN24" s="124" t="e">
        <f>"Buenas tardes "&amp;[4]!Tabla1[[#This Row],[Nombre]]&amp;", adjunto envió la deuda que nosotros vemos en el sistema acumulada hasta el 31/07/2024, al mismo tiempo te estamos mandando un Print de Pantalla para que visualicen el detalle de cada concepto si es que tenes DEUDA."&amp;" "&amp;"En "&amp;[4]!Tabla1[[#Headers],[Monot. / Autónomo]]&amp;" "&amp;+[4]!Tabla1[[#This Row],[Monot. / Autónomo]]&amp;"   ***    "&amp;" "&amp;"En "&amp;[4]!Tabla1[[#Headers],[Ingresos Brutos]]&amp;" "&amp;+[4]!Tabla1[[#This Row],[Ingresos Brutos]]&amp;"   ***    "&amp;"En "&amp;[4]!Tabla1[[#Headers],[AGIP]]&amp;" "&amp;+[4]!Tabla1[[#This Row],[AGIP]]&amp;"   ***    "&amp;"En "&amp;[4]!Tabla1[[#Headers],[SCT  IVA]]&amp;" "&amp;+[4]!Tabla1[[#This Row],[SCT  IVA]]&amp;"   ***    "&amp;"En "&amp;[4]!Tabla1[[#Headers],[SCT Empleados]]&amp;" "&amp;+[4]!Tabla1[[#This Row],[SCT Empleados]]&amp;"   ***    "&amp;"En "&amp;[4]!Tabla1[[#Headers],[SCT GCIA &amp; BP]]&amp;" "&amp;+[4]!Tabla1[[#This Row],[SCT GCIA &amp; BP]]&amp;"   ***    "&amp;"En "&amp;[4]!Tabla1[[#Headers],[SCT Contribución de Seg. Social]]&amp;" "&amp;+[4]!Tabla1[[#This Row],[SCT Contribución de Seg. Social]]&amp;"   ***    "&amp;"En "&amp;[4]!Tabla1[[#Headers],[Convenio]]&amp;" "&amp;+[4]!Tabla1[[#This Row],[Convenio]]&amp;"   ***    "&amp;"En "&amp;[4]!Tabla1[[#Headers],[Seg. e Higiene]]&amp;" "&amp;+[4]!Tabla1[[#This Row],[Seg. e Higiene]]&amp;"En "&amp;[4]!Tabla1[[#Headers],[Inmobiliario]]&amp;" "&amp;+[4]!Tabla1[[#This Row],[Inmobiliario]]&amp;"   ***    "&amp;"En "&amp;[4]!Tabla1[[#Headers],[Automotor]]&amp;" "&amp;+[4]!Tabla1[[#This Row],[Automotor]]&amp;"   ***    "&amp;".       En caso de querer pagar todo Junto nos envías un mail o por Whatapp el aviso y te enviaremos un VEP"&amp;"; En caso de querer meterlo en un Plan de Pagos nos deberías de avisar y nos contactaremos para decirte en cuantas cuotas se puede hacer. Sin más saluda atentamente Cdor. Mariano Morteo.  Muchas Gracias  (ESTE MAIL ES AUTOMATICO)."</f>
        <v>#REF!</v>
      </c>
      <c r="GO24" s="136" t="s">
        <v>281</v>
      </c>
      <c r="GP24" s="124"/>
      <c r="GQ24" t="s">
        <v>264</v>
      </c>
    </row>
    <row r="111" spans="1:200" s="1" customFormat="1" x14ac:dyDescent="0.25">
      <c r="A111"/>
      <c r="B111"/>
      <c r="C111"/>
      <c r="F111" s="2"/>
      <c r="I111" s="4"/>
      <c r="N111" s="4"/>
      <c r="O111" s="5"/>
      <c r="Q111" s="1">
        <f>SUBTOTAL(9,Q83:Q110)</f>
        <v>0</v>
      </c>
      <c r="T111" s="5"/>
      <c r="X111"/>
      <c r="Y111"/>
      <c r="Z111"/>
      <c r="AA111"/>
      <c r="AB111"/>
      <c r="AC111"/>
      <c r="AD111"/>
      <c r="AE111"/>
      <c r="AF111"/>
      <c r="AG111" s="2"/>
      <c r="AH111" s="2"/>
      <c r="AI111"/>
      <c r="AJ111"/>
      <c r="AK111"/>
      <c r="AL111" s="7"/>
      <c r="AM111" s="4"/>
      <c r="AN111"/>
      <c r="AO111" s="8"/>
      <c r="AP111"/>
      <c r="AQ111"/>
      <c r="AR111"/>
      <c r="AS111"/>
      <c r="AT111"/>
      <c r="AU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s="4"/>
      <c r="FM111"/>
      <c r="FN111"/>
      <c r="FO111"/>
      <c r="FP111"/>
      <c r="FQ111"/>
      <c r="FR111"/>
      <c r="FS111"/>
      <c r="FT111"/>
      <c r="FU111" s="9"/>
      <c r="FV111" s="9"/>
      <c r="FW111" s="9"/>
      <c r="FX111" s="230"/>
      <c r="FY111" s="13"/>
      <c r="FZ111" s="13"/>
      <c r="GA111" s="13"/>
      <c r="GB111" s="13"/>
      <c r="GC111" s="13"/>
      <c r="GD111" s="13"/>
      <c r="GE111" s="13"/>
      <c r="GF111" s="9"/>
      <c r="GG111" s="14"/>
      <c r="GH111" s="9"/>
      <c r="GI111" s="9"/>
      <c r="GJ111" s="14"/>
      <c r="GK111" s="14"/>
      <c r="GL111" s="14"/>
      <c r="GM111"/>
      <c r="GN111"/>
      <c r="GO111" s="4"/>
      <c r="GQ111"/>
      <c r="GR111"/>
    </row>
    <row r="1048115" spans="26:26" x14ac:dyDescent="0.25">
      <c r="Z1048115">
        <v>1141</v>
      </c>
    </row>
  </sheetData>
  <protectedRanges>
    <protectedRange password="CC65" sqref="Q2:Q5 A10:R21" name="planilla clientes"/>
    <protectedRange password="CC65" sqref="I24 P24:R24 A22:R23 N24 F24" name="planilla clientes_1"/>
  </protectedRanges>
  <dataConsolidate/>
  <conditionalFormatting sqref="T13 M15 AF18:AS18 AS17 I11:M14 I15:K15 GF12:GP12 GF14:GP14 GK11:GP11 GF11:GH11 GF13 V13:AS13 Q19:AS21 Q11:AS12 Q17:AQ17 Q18:AD18 Q13:R13 A9:GP10 I16:M21 GF15:GF21 GL13:GP13 GL15:GP21 A11:H21 Q14:AS16 N11:P21 GF22:GP22 A22:P23 AT11:GE23">
    <cfRule type="expression" dxfId="15" priority="314">
      <formula>ROW()=CELL("fila")</formula>
    </cfRule>
  </conditionalFormatting>
  <conditionalFormatting sqref="GK15">
    <cfRule type="expression" dxfId="14" priority="276">
      <formula>ROW()=CELL("fila")</formula>
    </cfRule>
  </conditionalFormatting>
  <conditionalFormatting sqref="GG13:GH13">
    <cfRule type="expression" dxfId="13" priority="275">
      <formula>ROW()=CELL("fila")</formula>
    </cfRule>
  </conditionalFormatting>
  <conditionalFormatting sqref="GG15:GH15">
    <cfRule type="expression" dxfId="12" priority="274">
      <formula>ROW()=CELL("fila")</formula>
    </cfRule>
  </conditionalFormatting>
  <conditionalFormatting sqref="GG16:GH16">
    <cfRule type="expression" dxfId="11" priority="273">
      <formula>ROW()=CELL("fila")</formula>
    </cfRule>
  </conditionalFormatting>
  <conditionalFormatting sqref="GG17:GH17">
    <cfRule type="expression" dxfId="10" priority="272">
      <formula>ROW()=CELL("fila")</formula>
    </cfRule>
  </conditionalFormatting>
  <conditionalFormatting sqref="GG18:GH18">
    <cfRule type="expression" dxfId="9" priority="271">
      <formula>ROW()=CELL("fila")</formula>
    </cfRule>
  </conditionalFormatting>
  <conditionalFormatting sqref="GG19:GH19">
    <cfRule type="expression" dxfId="8" priority="270">
      <formula>ROW()=CELL("fila")</formula>
    </cfRule>
  </conditionalFormatting>
  <conditionalFormatting sqref="GG20:GH20">
    <cfRule type="expression" dxfId="7" priority="269">
      <formula>ROW()=CELL("fila")</formula>
    </cfRule>
  </conditionalFormatting>
  <conditionalFormatting sqref="GG21:GH21">
    <cfRule type="expression" dxfId="6" priority="268">
      <formula>ROW()=CELL("fila")</formula>
    </cfRule>
  </conditionalFormatting>
  <conditionalFormatting sqref="GK13">
    <cfRule type="expression" dxfId="5" priority="85">
      <formula>ROW()=CELL("fila")</formula>
    </cfRule>
  </conditionalFormatting>
  <conditionalFormatting sqref="GK16">
    <cfRule type="expression" dxfId="4" priority="84">
      <formula>ROW()=CELL("fila")</formula>
    </cfRule>
  </conditionalFormatting>
  <conditionalFormatting sqref="GK17:GK18 GK20:GK21">
    <cfRule type="expression" dxfId="3" priority="83">
      <formula>ROW()=CELL("fila")</formula>
    </cfRule>
  </conditionalFormatting>
  <conditionalFormatting sqref="GK19">
    <cfRule type="expression" dxfId="2" priority="81">
      <formula>ROW()=CELL("fila")</formula>
    </cfRule>
  </conditionalFormatting>
  <conditionalFormatting sqref="FW2">
    <cfRule type="expression" dxfId="1" priority="5">
      <formula>ROW()=CELL("fila")</formula>
    </cfRule>
  </conditionalFormatting>
  <conditionalFormatting sqref="GF23:GH23 GK23:GP23 AF22:AS23 Q22:AD23 FU24:FY24 AT24 F24 P24 N24">
    <cfRule type="expression" dxfId="0" priority="1">
      <formula>ROW()=CELL("fila")</formula>
    </cfRule>
  </conditionalFormatting>
  <dataValidations count="1">
    <dataValidation type="list" allowBlank="1" showInputMessage="1" showErrorMessage="1" sqref="GT22:GT23">
      <formula1>#REF!</formula1>
    </dataValidation>
  </dataValidations>
  <hyperlinks>
    <hyperlink ref="X11" r:id="rId1"/>
    <hyperlink ref="X18" r:id="rId2"/>
    <hyperlink ref="X10" r:id="rId3"/>
    <hyperlink ref="AG9" location="'Fact. x MES'!A1" display="Fact. Mensuales"/>
    <hyperlink ref="X13" r:id="rId4"/>
    <hyperlink ref="X19" r:id="rId5" display="clausilvia31@gmail.com; "/>
    <hyperlink ref="X14" r:id="rId6" display="analiatriunfo.at@gmail.com "/>
    <hyperlink ref="AH13" r:id="rId7"/>
    <hyperlink ref="AI13" r:id="rId8"/>
    <hyperlink ref="X20" r:id="rId9"/>
    <hyperlink ref="X16" r:id="rId10"/>
    <hyperlink ref="X24" r:id="rId11" display="analiatriunfo.at@gmail.com "/>
  </hyperlinks>
  <printOptions horizontalCentered="1" verticalCentered="1"/>
  <pageMargins left="0.70866141732283472" right="0.70866141732283472" top="0" bottom="0" header="0.31496062992125984" footer="0.31496062992125984"/>
  <pageSetup scale="10" orientation="portrait" horizontalDpi="300" verticalDpi="300" r:id="rId12"/>
  <drawing r:id="rId13"/>
  <legacyDrawing r:id="rId14"/>
  <controls>
    <mc:AlternateContent xmlns:mc="http://schemas.openxmlformats.org/markup-compatibility/2006">
      <mc:Choice Requires="x14">
        <control shapeId="1025" r:id="rId15" name="TextBox1">
          <controlPr defaultSize="0" autoLine="0" r:id="rId16">
            <anchor moveWithCells="1">
              <from>
                <xdr:col>10</xdr:col>
                <xdr:colOff>381000</xdr:colOff>
                <xdr:row>5</xdr:row>
                <xdr:rowOff>104775</xdr:rowOff>
              </from>
              <to>
                <xdr:col>12</xdr:col>
                <xdr:colOff>619125</xdr:colOff>
                <xdr:row>6</xdr:row>
                <xdr:rowOff>180975</xdr:rowOff>
              </to>
            </anchor>
          </controlPr>
        </control>
      </mc:Choice>
      <mc:Fallback>
        <control shapeId="1025" r:id="rId15" name="TextBox1"/>
      </mc:Fallback>
    </mc:AlternateContent>
  </controls>
  <tableParts count="1">
    <tablePart r:id="rId17"/>
  </tableParts>
  <extLst>
    <ext xmlns:x15="http://schemas.microsoft.com/office/spreadsheetml/2010/11/main" uri="{3A4CF648-6AED-40f4-86FF-DC5316D8AED3}">
      <x14:slicerList xmlns:x14="http://schemas.microsoft.com/office/spreadsheetml/2009/9/main">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Clientes</vt:lpstr>
      <vt:lpstr>Clientes!Criterios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UsuServer</dc:creator>
  <cp:lastModifiedBy>Julian</cp:lastModifiedBy>
  <dcterms:created xsi:type="dcterms:W3CDTF">2025-10-24T21:00:48Z</dcterms:created>
  <dcterms:modified xsi:type="dcterms:W3CDTF">2025-10-27T03:08:20Z</dcterms:modified>
</cp:coreProperties>
</file>